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sh\Downloads\"/>
    </mc:Choice>
  </mc:AlternateContent>
  <xr:revisionPtr revIDLastSave="0" documentId="13_ncr:1_{EDF33C12-D336-4CDD-AC94-AD6E97B230A3}" xr6:coauthVersionLast="47" xr6:coauthVersionMax="47" xr10:uidLastSave="{00000000-0000-0000-0000-000000000000}"/>
  <bookViews>
    <workbookView xWindow="-108" yWindow="-108" windowWidth="23256" windowHeight="12456" tabRatio="924" firstSheet="3" activeTab="16" xr2:uid="{E0ECF0E4-F6FE-4F55-A767-5162DFD5D5ED}"/>
  </bookViews>
  <sheets>
    <sheet name="Financials&gt;" sheetId="17" r:id="rId1"/>
    <sheet name="Historical FS" sheetId="13" r:id="rId2"/>
    <sheet name="Financial Ratios" sheetId="14" r:id="rId3"/>
    <sheet name="Forecasting" sheetId="15" r:id="rId4"/>
    <sheet name="Data Sheet" sheetId="11" r:id="rId5"/>
    <sheet name="Cash Flow Data" sheetId="12" r:id="rId6"/>
    <sheet name="DCF&gt;" sheetId="2" r:id="rId7"/>
    <sheet name="WACC" sheetId="1" r:id="rId8"/>
    <sheet name="Beta" sheetId="21" r:id="rId9"/>
    <sheet name="Beta - Cal" sheetId="6" r:id="rId10"/>
    <sheet name="Beta - Comps" sheetId="5" r:id="rId11"/>
    <sheet name="Rm" sheetId="7" r:id="rId12"/>
    <sheet name="Intrisic Growth" sheetId="10" r:id="rId13"/>
    <sheet name="DCF" sheetId="18" r:id="rId14"/>
    <sheet name="Data - Raw FS" sheetId="9" r:id="rId15"/>
    <sheet name="Relative Valuation" sheetId="19" r:id="rId16"/>
    <sheet name="Data" sheetId="20" r:id="rId17"/>
  </sheets>
  <externalReferences>
    <externalReference r:id="rId18"/>
  </externalReferences>
  <definedNames>
    <definedName name="_xlnm.Print_Area" localSheetId="1">'Historical FS'!$A$1:$AT$147</definedName>
    <definedName name="UPDATE" localSheetId="5">'[1]Data Sheet'!$E$1</definedName>
    <definedName name="UPDATE" localSheetId="2">'[1]Data Sheet'!$E$1</definedName>
    <definedName name="UPDATE" localSheetId="3">'[1]Data Sheet'!$E$1</definedName>
    <definedName name="UPDATE" localSheetId="1">'[1]Data Sheet'!$E$1</definedName>
    <definedName name="UPDATE">'Data Sheet'!$E$1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4" l="1"/>
  <c r="B2" i="13"/>
  <c r="E41" i="18"/>
  <c r="E38" i="18"/>
  <c r="E27" i="18"/>
  <c r="E25" i="18"/>
  <c r="G42" i="10"/>
  <c r="H43" i="10" s="1"/>
  <c r="H49" i="10" s="1"/>
  <c r="H51" i="10" s="1"/>
  <c r="J35" i="1"/>
  <c r="K35" i="1"/>
  <c r="K36" i="1"/>
  <c r="D9" i="18"/>
  <c r="D5" i="18"/>
  <c r="K61" i="10"/>
  <c r="J61" i="10"/>
  <c r="I61" i="10"/>
  <c r="K59" i="10"/>
  <c r="K58" i="10"/>
  <c r="J58" i="10"/>
  <c r="I58" i="10"/>
  <c r="K51" i="10"/>
  <c r="J51" i="10"/>
  <c r="I51" i="10"/>
  <c r="K49" i="10"/>
  <c r="J49" i="10"/>
  <c r="I49" i="10"/>
  <c r="G47" i="10"/>
  <c r="G45" i="10"/>
  <c r="H42" i="10"/>
  <c r="K38" i="10"/>
  <c r="J38" i="10"/>
  <c r="I38" i="10"/>
  <c r="H38" i="10"/>
  <c r="G38" i="10"/>
  <c r="H36" i="10"/>
  <c r="I36" i="10"/>
  <c r="J36" i="10"/>
  <c r="K36" i="10"/>
  <c r="G36" i="10"/>
  <c r="G35" i="10"/>
  <c r="G33" i="10"/>
  <c r="G32" i="10"/>
  <c r="G31" i="10"/>
  <c r="I9" i="10"/>
  <c r="I16" i="10"/>
  <c r="H16" i="10"/>
  <c r="H18" i="10" s="1"/>
  <c r="G18" i="10"/>
  <c r="J16" i="10"/>
  <c r="K16" i="10"/>
  <c r="G16" i="10"/>
  <c r="H12" i="10"/>
  <c r="I12" i="10"/>
  <c r="J12" i="10"/>
  <c r="K12" i="10"/>
  <c r="G12" i="10"/>
  <c r="H13" i="10"/>
  <c r="I13" i="10"/>
  <c r="J13" i="10"/>
  <c r="K13" i="10"/>
  <c r="G13" i="10"/>
  <c r="G5" i="10"/>
  <c r="D29" i="9"/>
  <c r="C29" i="9"/>
  <c r="E28" i="1"/>
  <c r="E19" i="1"/>
  <c r="E21" i="1" s="1"/>
  <c r="G7" i="7"/>
  <c r="K20" i="1" s="1"/>
  <c r="G5" i="7"/>
  <c r="J12" i="21"/>
  <c r="D28" i="1"/>
  <c r="D29" i="1"/>
  <c r="D32" i="1"/>
  <c r="C29" i="1"/>
  <c r="C28" i="1"/>
  <c r="I14" i="1"/>
  <c r="I13" i="1"/>
  <c r="H13" i="1"/>
  <c r="H14" i="1"/>
  <c r="G14" i="1"/>
  <c r="G13" i="1"/>
  <c r="K7" i="1"/>
  <c r="C4" i="6"/>
  <c r="J11" i="1" s="1"/>
  <c r="K11" i="1" s="1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B7" i="6"/>
  <c r="B6" i="6"/>
  <c r="B5" i="6"/>
  <c r="J7" i="1"/>
  <c r="B4" i="21"/>
  <c r="M7" i="21"/>
  <c r="J6" i="21" s="1"/>
  <c r="G110" i="21"/>
  <c r="D110" i="21"/>
  <c r="G109" i="21"/>
  <c r="D109" i="21"/>
  <c r="G108" i="21"/>
  <c r="D108" i="21"/>
  <c r="G107" i="21"/>
  <c r="D107" i="21"/>
  <c r="G106" i="21"/>
  <c r="D106" i="21"/>
  <c r="G105" i="21"/>
  <c r="D105" i="21"/>
  <c r="G104" i="21"/>
  <c r="D104" i="21"/>
  <c r="G103" i="21"/>
  <c r="D103" i="21"/>
  <c r="G102" i="21"/>
  <c r="D102" i="21"/>
  <c r="G101" i="21"/>
  <c r="D101" i="21"/>
  <c r="G100" i="21"/>
  <c r="D100" i="21"/>
  <c r="G99" i="21"/>
  <c r="D99" i="21"/>
  <c r="G98" i="21"/>
  <c r="D98" i="21"/>
  <c r="G97" i="21"/>
  <c r="D97" i="21"/>
  <c r="G96" i="21"/>
  <c r="D96" i="21"/>
  <c r="G95" i="21"/>
  <c r="D95" i="21"/>
  <c r="G94" i="21"/>
  <c r="D94" i="21"/>
  <c r="G93" i="21"/>
  <c r="D93" i="21"/>
  <c r="G92" i="21"/>
  <c r="D92" i="21"/>
  <c r="G91" i="21"/>
  <c r="D91" i="21"/>
  <c r="G90" i="21"/>
  <c r="D90" i="21"/>
  <c r="G89" i="21"/>
  <c r="D89" i="21"/>
  <c r="G88" i="21"/>
  <c r="D88" i="21"/>
  <c r="G87" i="21"/>
  <c r="D87" i="21"/>
  <c r="G86" i="21"/>
  <c r="D86" i="21"/>
  <c r="G85" i="21"/>
  <c r="D85" i="21"/>
  <c r="G84" i="21"/>
  <c r="D84" i="21"/>
  <c r="G83" i="21"/>
  <c r="D83" i="21"/>
  <c r="G82" i="21"/>
  <c r="D82" i="21"/>
  <c r="G81" i="21"/>
  <c r="D81" i="21"/>
  <c r="G80" i="21"/>
  <c r="D80" i="21"/>
  <c r="G79" i="21"/>
  <c r="D79" i="21"/>
  <c r="G78" i="21"/>
  <c r="D78" i="21"/>
  <c r="G77" i="21"/>
  <c r="D77" i="21"/>
  <c r="G76" i="21"/>
  <c r="D76" i="21"/>
  <c r="G75" i="21"/>
  <c r="D75" i="21"/>
  <c r="G74" i="21"/>
  <c r="D74" i="21"/>
  <c r="G73" i="21"/>
  <c r="D73" i="21"/>
  <c r="G72" i="21"/>
  <c r="D72" i="21"/>
  <c r="G71" i="21"/>
  <c r="D71" i="21"/>
  <c r="G70" i="21"/>
  <c r="D70" i="21"/>
  <c r="G69" i="21"/>
  <c r="D69" i="21"/>
  <c r="G68" i="21"/>
  <c r="D68" i="21"/>
  <c r="G67" i="21"/>
  <c r="D67" i="21"/>
  <c r="G66" i="21"/>
  <c r="D66" i="21"/>
  <c r="G65" i="21"/>
  <c r="D65" i="21"/>
  <c r="G64" i="21"/>
  <c r="D64" i="21"/>
  <c r="G63" i="21"/>
  <c r="D63" i="21"/>
  <c r="G62" i="21"/>
  <c r="D62" i="21"/>
  <c r="G61" i="21"/>
  <c r="D61" i="21"/>
  <c r="G60" i="21"/>
  <c r="D60" i="21"/>
  <c r="G59" i="21"/>
  <c r="D59" i="21"/>
  <c r="G58" i="21"/>
  <c r="D58" i="21"/>
  <c r="G57" i="21"/>
  <c r="D57" i="21"/>
  <c r="G56" i="21"/>
  <c r="D56" i="21"/>
  <c r="G55" i="21"/>
  <c r="D55" i="21"/>
  <c r="G54" i="21"/>
  <c r="D54" i="21"/>
  <c r="G53" i="21"/>
  <c r="D53" i="21"/>
  <c r="G52" i="21"/>
  <c r="D52" i="21"/>
  <c r="G51" i="21"/>
  <c r="D51" i="21"/>
  <c r="G50" i="21"/>
  <c r="D50" i="21"/>
  <c r="G49" i="21"/>
  <c r="D49" i="21"/>
  <c r="G48" i="21"/>
  <c r="D48" i="21"/>
  <c r="G47" i="21"/>
  <c r="D47" i="21"/>
  <c r="G46" i="21"/>
  <c r="D46" i="21"/>
  <c r="G45" i="21"/>
  <c r="D45" i="21"/>
  <c r="G44" i="21"/>
  <c r="D44" i="21"/>
  <c r="G43" i="21"/>
  <c r="D43" i="21"/>
  <c r="G42" i="21"/>
  <c r="D42" i="21"/>
  <c r="G41" i="21"/>
  <c r="D41" i="21"/>
  <c r="G40" i="21"/>
  <c r="D40" i="21"/>
  <c r="G39" i="21"/>
  <c r="D39" i="21"/>
  <c r="G38" i="21"/>
  <c r="D38" i="21"/>
  <c r="G37" i="21"/>
  <c r="D37" i="21"/>
  <c r="G36" i="21"/>
  <c r="D36" i="21"/>
  <c r="G35" i="21"/>
  <c r="D35" i="21"/>
  <c r="G34" i="21"/>
  <c r="D34" i="21"/>
  <c r="G33" i="21"/>
  <c r="D33" i="21"/>
  <c r="G32" i="21"/>
  <c r="D32" i="21"/>
  <c r="G31" i="21"/>
  <c r="D31" i="21"/>
  <c r="G30" i="21"/>
  <c r="D30" i="21"/>
  <c r="G29" i="21"/>
  <c r="D29" i="21"/>
  <c r="G28" i="21"/>
  <c r="D28" i="21"/>
  <c r="G27" i="21"/>
  <c r="D27" i="21"/>
  <c r="G26" i="21"/>
  <c r="D26" i="21"/>
  <c r="G25" i="21"/>
  <c r="D25" i="21"/>
  <c r="G24" i="21"/>
  <c r="D24" i="21"/>
  <c r="G23" i="21"/>
  <c r="D23" i="21"/>
  <c r="G22" i="21"/>
  <c r="D22" i="21"/>
  <c r="G21" i="21"/>
  <c r="D21" i="21"/>
  <c r="G20" i="21"/>
  <c r="D20" i="21"/>
  <c r="G19" i="21"/>
  <c r="D19" i="21"/>
  <c r="G18" i="21"/>
  <c r="D18" i="21"/>
  <c r="G17" i="21"/>
  <c r="D17" i="21"/>
  <c r="G16" i="21"/>
  <c r="D16" i="21"/>
  <c r="G15" i="21"/>
  <c r="D15" i="21"/>
  <c r="G14" i="21"/>
  <c r="D14" i="21"/>
  <c r="G13" i="21"/>
  <c r="D13" i="21"/>
  <c r="G12" i="21"/>
  <c r="D12" i="21"/>
  <c r="G11" i="21"/>
  <c r="D11" i="21"/>
  <c r="G10" i="21"/>
  <c r="D10" i="21"/>
  <c r="G9" i="21"/>
  <c r="D9" i="21"/>
  <c r="G8" i="21"/>
  <c r="D8" i="21"/>
  <c r="E7" i="1"/>
  <c r="F8" i="1"/>
  <c r="F9" i="1"/>
  <c r="F10" i="1"/>
  <c r="F11" i="1"/>
  <c r="F7" i="1"/>
  <c r="E8" i="1"/>
  <c r="E9" i="1"/>
  <c r="E10" i="1"/>
  <c r="E11" i="1"/>
  <c r="N4" i="15" a="1"/>
  <c r="I4" i="15" a="1"/>
  <c r="E8" i="15"/>
  <c r="D14" i="15"/>
  <c r="D4" i="15" a="1"/>
  <c r="M4" i="15"/>
  <c r="H4" i="15"/>
  <c r="H5" i="15"/>
  <c r="H6" i="15" s="1"/>
  <c r="H7" i="15" s="1"/>
  <c r="H8" i="15" s="1"/>
  <c r="H9" i="15" s="1"/>
  <c r="H10" i="15" s="1"/>
  <c r="H11" i="15" s="1"/>
  <c r="H12" i="15" s="1"/>
  <c r="H13" i="15" s="1"/>
  <c r="H14" i="15" s="1"/>
  <c r="H15" i="15" s="1"/>
  <c r="H16" i="15" s="1"/>
  <c r="H17" i="15" s="1"/>
  <c r="H18" i="15" s="1"/>
  <c r="C4" i="15"/>
  <c r="L2" i="15"/>
  <c r="G2" i="15"/>
  <c r="B2" i="15"/>
  <c r="O39" i="14"/>
  <c r="O40" i="14"/>
  <c r="D38" i="14"/>
  <c r="N38" i="14" s="1"/>
  <c r="E38" i="14"/>
  <c r="F38" i="14"/>
  <c r="G38" i="14"/>
  <c r="O38" i="14" s="1"/>
  <c r="H38" i="14"/>
  <c r="I38" i="14"/>
  <c r="J38" i="14"/>
  <c r="K38" i="14"/>
  <c r="L38" i="14"/>
  <c r="D39" i="14"/>
  <c r="E39" i="14"/>
  <c r="F39" i="14"/>
  <c r="G39" i="14"/>
  <c r="H39" i="14"/>
  <c r="I39" i="14"/>
  <c r="J39" i="14"/>
  <c r="K39" i="14"/>
  <c r="L39" i="14"/>
  <c r="D40" i="14"/>
  <c r="E40" i="14"/>
  <c r="F40" i="14"/>
  <c r="G40" i="14"/>
  <c r="H40" i="14"/>
  <c r="I40" i="14"/>
  <c r="J40" i="14"/>
  <c r="K40" i="14"/>
  <c r="L40" i="14"/>
  <c r="C40" i="14"/>
  <c r="C39" i="14"/>
  <c r="C38" i="14"/>
  <c r="C36" i="14"/>
  <c r="C35" i="14"/>
  <c r="C34" i="14"/>
  <c r="C33" i="14"/>
  <c r="D27" i="14"/>
  <c r="E27" i="14"/>
  <c r="F27" i="14"/>
  <c r="G27" i="14"/>
  <c r="H27" i="14"/>
  <c r="I27" i="14"/>
  <c r="J27" i="14"/>
  <c r="K27" i="14"/>
  <c r="L27" i="14"/>
  <c r="D28" i="14"/>
  <c r="E28" i="14"/>
  <c r="F28" i="14"/>
  <c r="G28" i="14"/>
  <c r="H28" i="14"/>
  <c r="I28" i="14"/>
  <c r="J28" i="14"/>
  <c r="K28" i="14"/>
  <c r="L28" i="14"/>
  <c r="D29" i="14"/>
  <c r="E29" i="14"/>
  <c r="F29" i="14"/>
  <c r="G29" i="14"/>
  <c r="H29" i="14"/>
  <c r="I29" i="14"/>
  <c r="J29" i="14"/>
  <c r="K29" i="14"/>
  <c r="L29" i="14"/>
  <c r="D30" i="14"/>
  <c r="E30" i="14"/>
  <c r="F30" i="14"/>
  <c r="G30" i="14"/>
  <c r="H30" i="14"/>
  <c r="I30" i="14"/>
  <c r="J30" i="14"/>
  <c r="K30" i="14"/>
  <c r="L30" i="14"/>
  <c r="D31" i="14"/>
  <c r="E31" i="14"/>
  <c r="F31" i="14"/>
  <c r="G31" i="14"/>
  <c r="H31" i="14"/>
  <c r="I31" i="14"/>
  <c r="J31" i="14"/>
  <c r="K31" i="14"/>
  <c r="L31" i="14"/>
  <c r="C31" i="14"/>
  <c r="C30" i="14"/>
  <c r="C29" i="14"/>
  <c r="C28" i="14"/>
  <c r="C27" i="14"/>
  <c r="D21" i="14"/>
  <c r="E21" i="14"/>
  <c r="F21" i="14"/>
  <c r="G21" i="14"/>
  <c r="H21" i="14"/>
  <c r="I21" i="14"/>
  <c r="J21" i="14"/>
  <c r="K21" i="14"/>
  <c r="L21" i="14"/>
  <c r="D22" i="14"/>
  <c r="E22" i="14"/>
  <c r="F22" i="14"/>
  <c r="G22" i="14"/>
  <c r="H22" i="14"/>
  <c r="I22" i="14"/>
  <c r="J22" i="14"/>
  <c r="K22" i="14"/>
  <c r="L22" i="14"/>
  <c r="D23" i="14"/>
  <c r="E23" i="14"/>
  <c r="F23" i="14"/>
  <c r="G23" i="14"/>
  <c r="H23" i="14"/>
  <c r="I23" i="14"/>
  <c r="J23" i="14"/>
  <c r="K23" i="14"/>
  <c r="L23" i="14"/>
  <c r="D24" i="14"/>
  <c r="E24" i="14"/>
  <c r="F24" i="14"/>
  <c r="G24" i="14"/>
  <c r="H24" i="14"/>
  <c r="I24" i="14"/>
  <c r="J24" i="14"/>
  <c r="K24" i="14"/>
  <c r="L24" i="14"/>
  <c r="D25" i="14"/>
  <c r="E25" i="14"/>
  <c r="F25" i="14"/>
  <c r="G25" i="14"/>
  <c r="H25" i="14"/>
  <c r="I25" i="14"/>
  <c r="J25" i="14"/>
  <c r="K25" i="14"/>
  <c r="L25" i="14"/>
  <c r="C25" i="14"/>
  <c r="C24" i="14"/>
  <c r="C23" i="14"/>
  <c r="C22" i="14"/>
  <c r="C46" i="13"/>
  <c r="C21" i="14"/>
  <c r="D17" i="14"/>
  <c r="E17" i="14"/>
  <c r="F17" i="14"/>
  <c r="G17" i="14"/>
  <c r="H17" i="14"/>
  <c r="I17" i="14"/>
  <c r="J17" i="14"/>
  <c r="K17" i="14"/>
  <c r="L17" i="14"/>
  <c r="D18" i="14"/>
  <c r="E18" i="14"/>
  <c r="F18" i="14"/>
  <c r="G18" i="14"/>
  <c r="H18" i="14"/>
  <c r="I18" i="14"/>
  <c r="J18" i="14"/>
  <c r="K18" i="14"/>
  <c r="L18" i="14"/>
  <c r="C18" i="14"/>
  <c r="C17" i="14"/>
  <c r="D15" i="14"/>
  <c r="E15" i="14"/>
  <c r="F15" i="14"/>
  <c r="G15" i="14"/>
  <c r="H15" i="14"/>
  <c r="I15" i="14"/>
  <c r="J15" i="14"/>
  <c r="K15" i="14"/>
  <c r="L15" i="14"/>
  <c r="C15" i="14"/>
  <c r="D14" i="14"/>
  <c r="E14" i="14"/>
  <c r="F14" i="14"/>
  <c r="G14" i="14"/>
  <c r="H14" i="14"/>
  <c r="I14" i="14"/>
  <c r="J14" i="14"/>
  <c r="K14" i="14"/>
  <c r="L14" i="14"/>
  <c r="C14" i="14"/>
  <c r="D11" i="14"/>
  <c r="E11" i="14"/>
  <c r="F11" i="14"/>
  <c r="G11" i="14"/>
  <c r="H11" i="14"/>
  <c r="I11" i="14"/>
  <c r="J11" i="14"/>
  <c r="K11" i="14"/>
  <c r="L11" i="14"/>
  <c r="D12" i="14"/>
  <c r="E12" i="14"/>
  <c r="F12" i="14"/>
  <c r="G12" i="14"/>
  <c r="H12" i="14"/>
  <c r="I12" i="14"/>
  <c r="J12" i="14"/>
  <c r="K12" i="14"/>
  <c r="L12" i="14"/>
  <c r="D13" i="14"/>
  <c r="E13" i="14"/>
  <c r="F13" i="14"/>
  <c r="G13" i="14"/>
  <c r="H13" i="14"/>
  <c r="I13" i="14"/>
  <c r="J13" i="14"/>
  <c r="K13" i="14"/>
  <c r="L13" i="14"/>
  <c r="C13" i="14"/>
  <c r="C24" i="13"/>
  <c r="D24" i="13"/>
  <c r="E24" i="13"/>
  <c r="F24" i="13"/>
  <c r="G24" i="13"/>
  <c r="H24" i="13"/>
  <c r="I24" i="13"/>
  <c r="J24" i="13"/>
  <c r="K24" i="13"/>
  <c r="C98" i="13"/>
  <c r="D98" i="13"/>
  <c r="E98" i="13"/>
  <c r="F98" i="13"/>
  <c r="G98" i="13"/>
  <c r="H98" i="13"/>
  <c r="I98" i="13"/>
  <c r="J98" i="13"/>
  <c r="K98" i="13"/>
  <c r="L98" i="13"/>
  <c r="C99" i="13"/>
  <c r="D99" i="13"/>
  <c r="E99" i="13"/>
  <c r="F99" i="13"/>
  <c r="G99" i="13"/>
  <c r="H99" i="13"/>
  <c r="I99" i="13"/>
  <c r="J99" i="13"/>
  <c r="K99" i="13"/>
  <c r="L99" i="13"/>
  <c r="C100" i="13"/>
  <c r="D100" i="13"/>
  <c r="E100" i="13"/>
  <c r="F100" i="13"/>
  <c r="G100" i="13"/>
  <c r="H100" i="13"/>
  <c r="I100" i="13"/>
  <c r="J100" i="13"/>
  <c r="K100" i="13"/>
  <c r="L100" i="13"/>
  <c r="C101" i="13"/>
  <c r="D101" i="13"/>
  <c r="E101" i="13"/>
  <c r="F101" i="13"/>
  <c r="G101" i="13"/>
  <c r="H101" i="13"/>
  <c r="I101" i="13"/>
  <c r="J101" i="13"/>
  <c r="K101" i="13"/>
  <c r="L101" i="13"/>
  <c r="C102" i="13"/>
  <c r="D102" i="13"/>
  <c r="E102" i="13"/>
  <c r="F102" i="13"/>
  <c r="G102" i="13"/>
  <c r="H102" i="13"/>
  <c r="I102" i="13"/>
  <c r="J102" i="13"/>
  <c r="K102" i="13"/>
  <c r="L102" i="13"/>
  <c r="C103" i="13"/>
  <c r="D103" i="13"/>
  <c r="E103" i="13"/>
  <c r="F103" i="13"/>
  <c r="G103" i="13"/>
  <c r="H103" i="13"/>
  <c r="I103" i="13"/>
  <c r="J103" i="13"/>
  <c r="K103" i="13"/>
  <c r="L103" i="13"/>
  <c r="D97" i="13"/>
  <c r="E97" i="13"/>
  <c r="F97" i="13"/>
  <c r="G97" i="13"/>
  <c r="H97" i="13"/>
  <c r="I97" i="13"/>
  <c r="J97" i="13"/>
  <c r="K97" i="13"/>
  <c r="L97" i="13"/>
  <c r="L104" i="13" s="1"/>
  <c r="C97" i="13"/>
  <c r="C104" i="13" s="1"/>
  <c r="C86" i="13"/>
  <c r="D86" i="13"/>
  <c r="E86" i="13"/>
  <c r="F86" i="13"/>
  <c r="G86" i="13"/>
  <c r="H86" i="13"/>
  <c r="I86" i="13"/>
  <c r="J86" i="13"/>
  <c r="K86" i="13"/>
  <c r="L86" i="13"/>
  <c r="C87" i="13"/>
  <c r="D87" i="13"/>
  <c r="E87" i="13"/>
  <c r="F87" i="13"/>
  <c r="G87" i="13"/>
  <c r="H87" i="13"/>
  <c r="I87" i="13"/>
  <c r="J87" i="13"/>
  <c r="K87" i="13"/>
  <c r="L87" i="13"/>
  <c r="C88" i="13"/>
  <c r="D88" i="13"/>
  <c r="E88" i="13"/>
  <c r="F88" i="13"/>
  <c r="G88" i="13"/>
  <c r="H88" i="13"/>
  <c r="I88" i="13"/>
  <c r="J88" i="13"/>
  <c r="K88" i="13"/>
  <c r="L88" i="13"/>
  <c r="C89" i="13"/>
  <c r="D89" i="13"/>
  <c r="E89" i="13"/>
  <c r="F89" i="13"/>
  <c r="G89" i="13"/>
  <c r="H89" i="13"/>
  <c r="I89" i="13"/>
  <c r="J89" i="13"/>
  <c r="K89" i="13"/>
  <c r="L89" i="13"/>
  <c r="C90" i="13"/>
  <c r="D90" i="13"/>
  <c r="E90" i="13"/>
  <c r="F90" i="13"/>
  <c r="G90" i="13"/>
  <c r="H90" i="13"/>
  <c r="I90" i="13"/>
  <c r="J90" i="13"/>
  <c r="K90" i="13"/>
  <c r="L90" i="13"/>
  <c r="C91" i="13"/>
  <c r="D91" i="13"/>
  <c r="E91" i="13"/>
  <c r="F91" i="13"/>
  <c r="G91" i="13"/>
  <c r="H91" i="13"/>
  <c r="I91" i="13"/>
  <c r="J91" i="13"/>
  <c r="K91" i="13"/>
  <c r="L91" i="13"/>
  <c r="C92" i="13"/>
  <c r="D92" i="13"/>
  <c r="E92" i="13"/>
  <c r="F92" i="13"/>
  <c r="G92" i="13"/>
  <c r="H92" i="13"/>
  <c r="I92" i="13"/>
  <c r="J92" i="13"/>
  <c r="K92" i="13"/>
  <c r="L92" i="13"/>
  <c r="C93" i="13"/>
  <c r="D93" i="13"/>
  <c r="E93" i="13"/>
  <c r="F93" i="13"/>
  <c r="G93" i="13"/>
  <c r="H93" i="13"/>
  <c r="I93" i="13"/>
  <c r="J93" i="13"/>
  <c r="K93" i="13"/>
  <c r="L93" i="13"/>
  <c r="D85" i="13"/>
  <c r="E85" i="13"/>
  <c r="F85" i="13"/>
  <c r="G85" i="13"/>
  <c r="H85" i="13"/>
  <c r="I85" i="13"/>
  <c r="J85" i="13"/>
  <c r="K85" i="13"/>
  <c r="L85" i="13"/>
  <c r="C85" i="13"/>
  <c r="D72" i="13"/>
  <c r="E72" i="13"/>
  <c r="F72" i="13"/>
  <c r="G72" i="13"/>
  <c r="H72" i="13"/>
  <c r="I72" i="13"/>
  <c r="J72" i="13"/>
  <c r="K72" i="13"/>
  <c r="L72" i="13"/>
  <c r="D73" i="13"/>
  <c r="E73" i="13"/>
  <c r="F73" i="13"/>
  <c r="G73" i="13"/>
  <c r="H73" i="13"/>
  <c r="I73" i="13"/>
  <c r="J73" i="13"/>
  <c r="K73" i="13"/>
  <c r="L73" i="13"/>
  <c r="D74" i="13"/>
  <c r="E74" i="13"/>
  <c r="F74" i="13"/>
  <c r="G74" i="13"/>
  <c r="H74" i="13"/>
  <c r="I74" i="13"/>
  <c r="J74" i="13"/>
  <c r="K74" i="13"/>
  <c r="L74" i="13"/>
  <c r="D75" i="13"/>
  <c r="E75" i="13"/>
  <c r="F75" i="13"/>
  <c r="G75" i="13"/>
  <c r="H75" i="13"/>
  <c r="I75" i="13"/>
  <c r="J75" i="13"/>
  <c r="K75" i="13"/>
  <c r="L75" i="13"/>
  <c r="D76" i="13"/>
  <c r="E76" i="13"/>
  <c r="F76" i="13"/>
  <c r="G76" i="13"/>
  <c r="H76" i="13"/>
  <c r="I76" i="13"/>
  <c r="J76" i="13"/>
  <c r="K76" i="13"/>
  <c r="L76" i="13"/>
  <c r="D77" i="13"/>
  <c r="E77" i="13"/>
  <c r="F77" i="13"/>
  <c r="G77" i="13"/>
  <c r="H77" i="13"/>
  <c r="I77" i="13"/>
  <c r="J77" i="13"/>
  <c r="K77" i="13"/>
  <c r="L77" i="13"/>
  <c r="D78" i="13"/>
  <c r="E78" i="13"/>
  <c r="F78" i="13"/>
  <c r="G78" i="13"/>
  <c r="H78" i="13"/>
  <c r="I78" i="13"/>
  <c r="J78" i="13"/>
  <c r="K78" i="13"/>
  <c r="L78" i="13"/>
  <c r="C73" i="13"/>
  <c r="C74" i="13"/>
  <c r="C75" i="13"/>
  <c r="C76" i="13"/>
  <c r="C77" i="13"/>
  <c r="C78" i="13"/>
  <c r="C72" i="13"/>
  <c r="D79" i="13"/>
  <c r="E79" i="13"/>
  <c r="F79" i="13"/>
  <c r="G79" i="13"/>
  <c r="H79" i="13"/>
  <c r="I79" i="13"/>
  <c r="J79" i="13"/>
  <c r="K79" i="13"/>
  <c r="L79" i="13"/>
  <c r="C79" i="13"/>
  <c r="D80" i="13"/>
  <c r="E80" i="13"/>
  <c r="F80" i="13"/>
  <c r="G80" i="13"/>
  <c r="H80" i="13"/>
  <c r="I80" i="13"/>
  <c r="J80" i="13"/>
  <c r="K80" i="13"/>
  <c r="L80" i="13"/>
  <c r="C80" i="13"/>
  <c r="D81" i="13"/>
  <c r="E81" i="13"/>
  <c r="F81" i="13"/>
  <c r="G81" i="13"/>
  <c r="H81" i="13"/>
  <c r="I81" i="13"/>
  <c r="J81" i="13"/>
  <c r="K81" i="13"/>
  <c r="L81" i="13"/>
  <c r="C81" i="13"/>
  <c r="D61" i="13"/>
  <c r="E61" i="13"/>
  <c r="F61" i="13"/>
  <c r="G61" i="13"/>
  <c r="H61" i="13"/>
  <c r="I61" i="13"/>
  <c r="J61" i="13"/>
  <c r="K61" i="13"/>
  <c r="L61" i="13"/>
  <c r="D62" i="13"/>
  <c r="E62" i="13"/>
  <c r="F62" i="13"/>
  <c r="G62" i="13"/>
  <c r="H62" i="13"/>
  <c r="I62" i="13"/>
  <c r="J62" i="13"/>
  <c r="K62" i="13"/>
  <c r="L62" i="13"/>
  <c r="D63" i="13"/>
  <c r="E63" i="13"/>
  <c r="F63" i="13"/>
  <c r="G63" i="13"/>
  <c r="H63" i="13"/>
  <c r="I63" i="13"/>
  <c r="J63" i="13"/>
  <c r="K63" i="13"/>
  <c r="L63" i="13"/>
  <c r="C62" i="13"/>
  <c r="C63" i="13"/>
  <c r="C61" i="13"/>
  <c r="D55" i="13"/>
  <c r="E55" i="13"/>
  <c r="F55" i="13"/>
  <c r="G55" i="13"/>
  <c r="H55" i="13"/>
  <c r="I55" i="13"/>
  <c r="J55" i="13"/>
  <c r="K55" i="13"/>
  <c r="L55" i="13"/>
  <c r="D56" i="13"/>
  <c r="E56" i="13"/>
  <c r="F56" i="13"/>
  <c r="G56" i="13"/>
  <c r="H56" i="13"/>
  <c r="I56" i="13"/>
  <c r="J56" i="13"/>
  <c r="K56" i="13"/>
  <c r="L56" i="13"/>
  <c r="D57" i="13"/>
  <c r="E57" i="13"/>
  <c r="F57" i="13"/>
  <c r="G57" i="13"/>
  <c r="H57" i="13"/>
  <c r="I57" i="13"/>
  <c r="J57" i="13"/>
  <c r="K57" i="13"/>
  <c r="L57" i="13"/>
  <c r="C56" i="13"/>
  <c r="C57" i="13"/>
  <c r="C55" i="13"/>
  <c r="D53" i="13"/>
  <c r="E53" i="13"/>
  <c r="F53" i="13"/>
  <c r="G53" i="13"/>
  <c r="H53" i="13"/>
  <c r="I53" i="13"/>
  <c r="J53" i="13"/>
  <c r="K53" i="13"/>
  <c r="L53" i="13"/>
  <c r="C53" i="13"/>
  <c r="D49" i="13"/>
  <c r="E49" i="13"/>
  <c r="F49" i="13"/>
  <c r="G49" i="13"/>
  <c r="H49" i="13"/>
  <c r="I49" i="13"/>
  <c r="J49" i="13"/>
  <c r="K49" i="13"/>
  <c r="L49" i="13"/>
  <c r="D50" i="13"/>
  <c r="E50" i="13"/>
  <c r="F50" i="13"/>
  <c r="G50" i="13"/>
  <c r="H50" i="13"/>
  <c r="I50" i="13"/>
  <c r="J50" i="13"/>
  <c r="K50" i="13"/>
  <c r="L50" i="13"/>
  <c r="D51" i="13"/>
  <c r="E51" i="13"/>
  <c r="F51" i="13"/>
  <c r="G51" i="13"/>
  <c r="H51" i="13"/>
  <c r="I51" i="13"/>
  <c r="J51" i="13"/>
  <c r="K51" i="13"/>
  <c r="L51" i="13"/>
  <c r="D52" i="13"/>
  <c r="E52" i="13"/>
  <c r="F52" i="13"/>
  <c r="G52" i="13"/>
  <c r="H52" i="13"/>
  <c r="I52" i="13"/>
  <c r="J52" i="13"/>
  <c r="K52" i="13"/>
  <c r="L52" i="13"/>
  <c r="C50" i="13"/>
  <c r="C51" i="13"/>
  <c r="C52" i="13"/>
  <c r="C49" i="13"/>
  <c r="D38" i="13"/>
  <c r="D43" i="13" s="1"/>
  <c r="D9" i="14" s="1"/>
  <c r="E38" i="13"/>
  <c r="E43" i="13" s="1"/>
  <c r="E9" i="14" s="1"/>
  <c r="F38" i="13"/>
  <c r="F43" i="13" s="1"/>
  <c r="F9" i="14" s="1"/>
  <c r="G38" i="13"/>
  <c r="G43" i="13" s="1"/>
  <c r="G9" i="14" s="1"/>
  <c r="H38" i="13"/>
  <c r="H43" i="13" s="1"/>
  <c r="H9" i="14" s="1"/>
  <c r="I38" i="13"/>
  <c r="I43" i="13" s="1"/>
  <c r="I9" i="14" s="1"/>
  <c r="J38" i="13"/>
  <c r="J43" i="13" s="1"/>
  <c r="J9" i="14" s="1"/>
  <c r="K38" i="13"/>
  <c r="K43" i="13" s="1"/>
  <c r="K9" i="14" s="1"/>
  <c r="L38" i="13"/>
  <c r="L43" i="13" s="1"/>
  <c r="L9" i="14" s="1"/>
  <c r="C38" i="13"/>
  <c r="C43" i="13" s="1"/>
  <c r="D32" i="13"/>
  <c r="E32" i="13"/>
  <c r="F32" i="13"/>
  <c r="G32" i="13"/>
  <c r="H32" i="13"/>
  <c r="I32" i="13"/>
  <c r="J32" i="13"/>
  <c r="K32" i="13"/>
  <c r="L32" i="13"/>
  <c r="C32" i="13"/>
  <c r="D23" i="13"/>
  <c r="E23" i="13"/>
  <c r="F23" i="13"/>
  <c r="G23" i="13"/>
  <c r="H23" i="13"/>
  <c r="I23" i="13"/>
  <c r="J23" i="13"/>
  <c r="K23" i="13"/>
  <c r="L23" i="13"/>
  <c r="C23" i="13"/>
  <c r="D20" i="13"/>
  <c r="E20" i="13"/>
  <c r="F20" i="13"/>
  <c r="G20" i="13"/>
  <c r="H20" i="13"/>
  <c r="I20" i="13"/>
  <c r="J20" i="13"/>
  <c r="K20" i="13"/>
  <c r="L20" i="13"/>
  <c r="C20" i="13"/>
  <c r="D14" i="13"/>
  <c r="E14" i="13"/>
  <c r="F14" i="13"/>
  <c r="G14" i="13"/>
  <c r="H14" i="13"/>
  <c r="I14" i="13"/>
  <c r="J14" i="13"/>
  <c r="K14" i="13"/>
  <c r="L14" i="13"/>
  <c r="C14" i="13"/>
  <c r="D8" i="13"/>
  <c r="E8" i="13"/>
  <c r="F8" i="13"/>
  <c r="G8" i="13"/>
  <c r="H8" i="13"/>
  <c r="I8" i="13"/>
  <c r="J8" i="13"/>
  <c r="K8" i="13"/>
  <c r="L8" i="13"/>
  <c r="C8" i="13"/>
  <c r="D5" i="13"/>
  <c r="E5" i="13"/>
  <c r="F5" i="13"/>
  <c r="G5" i="13"/>
  <c r="H5" i="13"/>
  <c r="I5" i="13"/>
  <c r="J5" i="13"/>
  <c r="K5" i="13"/>
  <c r="L5" i="13"/>
  <c r="C5" i="13"/>
  <c r="J9" i="19"/>
  <c r="L9" i="19"/>
  <c r="J10" i="19"/>
  <c r="L10" i="19"/>
  <c r="J11" i="19"/>
  <c r="L11" i="19"/>
  <c r="J12" i="19"/>
  <c r="L12" i="19"/>
  <c r="J13" i="19"/>
  <c r="L13" i="19"/>
  <c r="J14" i="19"/>
  <c r="L14" i="19"/>
  <c r="J15" i="19"/>
  <c r="L15" i="19"/>
  <c r="J16" i="19"/>
  <c r="L16" i="19"/>
  <c r="J17" i="19"/>
  <c r="L17" i="19"/>
  <c r="L8" i="19"/>
  <c r="J8" i="19"/>
  <c r="I4" i="20"/>
  <c r="G9" i="19" s="1"/>
  <c r="I5" i="20"/>
  <c r="G10" i="19" s="1"/>
  <c r="I6" i="20"/>
  <c r="G11" i="19" s="1"/>
  <c r="I7" i="20"/>
  <c r="G12" i="19" s="1"/>
  <c r="I8" i="20"/>
  <c r="G13" i="19" s="1"/>
  <c r="I9" i="20"/>
  <c r="G14" i="19" s="1"/>
  <c r="I10" i="20"/>
  <c r="G15" i="19" s="1"/>
  <c r="I11" i="20"/>
  <c r="G16" i="19" s="1"/>
  <c r="I12" i="20"/>
  <c r="G17" i="19" s="1"/>
  <c r="I3" i="20"/>
  <c r="G8" i="19" s="1"/>
  <c r="E9" i="19"/>
  <c r="E10" i="19"/>
  <c r="E11" i="19"/>
  <c r="E12" i="19"/>
  <c r="E13" i="19"/>
  <c r="E14" i="19"/>
  <c r="E15" i="19"/>
  <c r="E16" i="19"/>
  <c r="E17" i="19"/>
  <c r="E8" i="19"/>
  <c r="D9" i="19"/>
  <c r="F9" i="19" s="1"/>
  <c r="P9" i="19" s="1"/>
  <c r="D10" i="19"/>
  <c r="F10" i="19" s="1"/>
  <c r="P10" i="19" s="1"/>
  <c r="D11" i="19"/>
  <c r="D12" i="19"/>
  <c r="F12" i="19" s="1"/>
  <c r="P12" i="19" s="1"/>
  <c r="D13" i="19"/>
  <c r="F13" i="19" s="1"/>
  <c r="P13" i="19" s="1"/>
  <c r="D14" i="19"/>
  <c r="F14" i="19" s="1"/>
  <c r="P14" i="19" s="1"/>
  <c r="D15" i="19"/>
  <c r="F15" i="19" s="1"/>
  <c r="P15" i="19" s="1"/>
  <c r="D16" i="19"/>
  <c r="F16" i="19" s="1"/>
  <c r="P16" i="19" s="1"/>
  <c r="D17" i="19"/>
  <c r="F17" i="19" s="1"/>
  <c r="P17" i="19" s="1"/>
  <c r="D8" i="19"/>
  <c r="F8" i="19" s="1"/>
  <c r="P8" i="19" s="1"/>
  <c r="B9" i="19"/>
  <c r="B10" i="19"/>
  <c r="B11" i="19"/>
  <c r="B12" i="19"/>
  <c r="B13" i="19"/>
  <c r="B14" i="19"/>
  <c r="B15" i="19"/>
  <c r="B16" i="19"/>
  <c r="B17" i="19"/>
  <c r="B8" i="19"/>
  <c r="H4" i="20"/>
  <c r="J4" i="20" s="1"/>
  <c r="H5" i="20"/>
  <c r="J5" i="20" s="1"/>
  <c r="H6" i="20"/>
  <c r="J6" i="20" s="1"/>
  <c r="H7" i="20"/>
  <c r="J7" i="20" s="1"/>
  <c r="H8" i="20"/>
  <c r="J8" i="20" s="1"/>
  <c r="H9" i="20"/>
  <c r="J9" i="20" s="1"/>
  <c r="H10" i="20"/>
  <c r="J10" i="20" s="1"/>
  <c r="H11" i="20"/>
  <c r="J11" i="20" s="1"/>
  <c r="H12" i="20"/>
  <c r="J12" i="20" s="1"/>
  <c r="H3" i="20"/>
  <c r="J3" i="20" s="1"/>
  <c r="M4" i="20"/>
  <c r="M5" i="20"/>
  <c r="M6" i="20"/>
  <c r="M7" i="20"/>
  <c r="M8" i="20"/>
  <c r="M9" i="20"/>
  <c r="M10" i="20"/>
  <c r="M11" i="20"/>
  <c r="M12" i="20"/>
  <c r="M3" i="20"/>
  <c r="E39" i="18"/>
  <c r="C33" i="11"/>
  <c r="D33" i="11"/>
  <c r="E33" i="11"/>
  <c r="F33" i="11"/>
  <c r="G33" i="11"/>
  <c r="H33" i="11"/>
  <c r="I33" i="11"/>
  <c r="J33" i="11"/>
  <c r="K33" i="11"/>
  <c r="B33" i="11"/>
  <c r="D3" i="18"/>
  <c r="E3" i="18" s="1"/>
  <c r="F3" i="18" s="1"/>
  <c r="G3" i="18" s="1"/>
  <c r="H3" i="18" s="1"/>
  <c r="I3" i="18" s="1"/>
  <c r="H56" i="10"/>
  <c r="I56" i="10"/>
  <c r="J56" i="10"/>
  <c r="K56" i="10"/>
  <c r="G56" i="10"/>
  <c r="I42" i="10"/>
  <c r="J42" i="10"/>
  <c r="K42" i="10"/>
  <c r="H40" i="10"/>
  <c r="I40" i="10"/>
  <c r="J40" i="10"/>
  <c r="K40" i="10"/>
  <c r="G40" i="10"/>
  <c r="L5" i="15"/>
  <c r="L6" i="15" s="1"/>
  <c r="L7" i="15" s="1"/>
  <c r="L8" i="15" s="1"/>
  <c r="L9" i="15" s="1"/>
  <c r="L10" i="15" s="1"/>
  <c r="L11" i="15" s="1"/>
  <c r="L12" i="15" s="1"/>
  <c r="L13" i="15" s="1"/>
  <c r="L14" i="15" s="1"/>
  <c r="G5" i="15"/>
  <c r="G6" i="15" s="1"/>
  <c r="G7" i="15" s="1"/>
  <c r="G8" i="15" s="1"/>
  <c r="G9" i="15" s="1"/>
  <c r="G10" i="15" s="1"/>
  <c r="G11" i="15" s="1"/>
  <c r="G12" i="15" s="1"/>
  <c r="G13" i="15" s="1"/>
  <c r="G14" i="15" s="1"/>
  <c r="B5" i="15"/>
  <c r="B6" i="15" s="1"/>
  <c r="B7" i="15" s="1"/>
  <c r="B8" i="15" s="1"/>
  <c r="B9" i="15" s="1"/>
  <c r="B10" i="15" s="1"/>
  <c r="B11" i="15" s="1"/>
  <c r="B12" i="15" s="1"/>
  <c r="B13" i="15" s="1"/>
  <c r="B14" i="15" s="1"/>
  <c r="M5" i="15"/>
  <c r="M6" i="15" s="1"/>
  <c r="M7" i="15" s="1"/>
  <c r="M8" i="15" s="1"/>
  <c r="M9" i="15" s="1"/>
  <c r="M10" i="15" s="1"/>
  <c r="M11" i="15" s="1"/>
  <c r="M12" i="15" s="1"/>
  <c r="M13" i="15" s="1"/>
  <c r="M14" i="15" s="1"/>
  <c r="M15" i="15" s="1"/>
  <c r="M16" i="15" s="1"/>
  <c r="M17" i="15" s="1"/>
  <c r="M18" i="15" s="1"/>
  <c r="C5" i="15"/>
  <c r="C6" i="15" s="1"/>
  <c r="C7" i="15" s="1"/>
  <c r="C8" i="15" s="1"/>
  <c r="C9" i="15" s="1"/>
  <c r="C10" i="15" s="1"/>
  <c r="C11" i="15" s="1"/>
  <c r="C12" i="15" s="1"/>
  <c r="C13" i="15" s="1"/>
  <c r="C14" i="15" s="1"/>
  <c r="C15" i="15" s="1"/>
  <c r="C16" i="15" s="1"/>
  <c r="C17" i="15" s="1"/>
  <c r="C18" i="15" s="1"/>
  <c r="C3" i="14"/>
  <c r="D3" i="14"/>
  <c r="E3" i="14"/>
  <c r="F3" i="14"/>
  <c r="G3" i="14"/>
  <c r="H3" i="14"/>
  <c r="I3" i="14"/>
  <c r="J3" i="14"/>
  <c r="K3" i="14"/>
  <c r="L3" i="14"/>
  <c r="D19" i="14"/>
  <c r="E19" i="14"/>
  <c r="F19" i="14"/>
  <c r="G19" i="14"/>
  <c r="H19" i="14"/>
  <c r="I19" i="14"/>
  <c r="K19" i="14"/>
  <c r="L19" i="14"/>
  <c r="O15" i="14"/>
  <c r="D33" i="14"/>
  <c r="E33" i="14"/>
  <c r="F33" i="14"/>
  <c r="G33" i="14"/>
  <c r="H33" i="14"/>
  <c r="I33" i="14"/>
  <c r="J33" i="14"/>
  <c r="K33" i="14"/>
  <c r="L33" i="14"/>
  <c r="D34" i="14"/>
  <c r="E34" i="14"/>
  <c r="F34" i="14"/>
  <c r="G34" i="14"/>
  <c r="H34" i="14"/>
  <c r="I34" i="14"/>
  <c r="J34" i="14"/>
  <c r="K34" i="14"/>
  <c r="L34" i="14"/>
  <c r="D35" i="14"/>
  <c r="E35" i="14"/>
  <c r="F35" i="14"/>
  <c r="G35" i="14"/>
  <c r="H35" i="14"/>
  <c r="I35" i="14"/>
  <c r="K35" i="14"/>
  <c r="L35" i="14"/>
  <c r="O29" i="14"/>
  <c r="L3" i="13"/>
  <c r="K3" i="13"/>
  <c r="J3" i="13"/>
  <c r="I3" i="13"/>
  <c r="H3" i="13"/>
  <c r="G3" i="13"/>
  <c r="F3" i="13"/>
  <c r="E3" i="13"/>
  <c r="D3" i="13"/>
  <c r="C3" i="13"/>
  <c r="B6" i="11"/>
  <c r="E1" i="11"/>
  <c r="H32" i="10"/>
  <c r="I32" i="10"/>
  <c r="J32" i="10"/>
  <c r="K32" i="10"/>
  <c r="H21" i="10"/>
  <c r="I21" i="10"/>
  <c r="J21" i="10"/>
  <c r="K21" i="10"/>
  <c r="H22" i="10"/>
  <c r="I22" i="10"/>
  <c r="J22" i="10"/>
  <c r="K22" i="10"/>
  <c r="H23" i="10"/>
  <c r="I23" i="10"/>
  <c r="J23" i="10"/>
  <c r="K23" i="10"/>
  <c r="H24" i="10"/>
  <c r="I24" i="10"/>
  <c r="J24" i="10"/>
  <c r="K24" i="10"/>
  <c r="H25" i="10"/>
  <c r="I25" i="10"/>
  <c r="J25" i="10"/>
  <c r="K25" i="10"/>
  <c r="H26" i="10"/>
  <c r="I26" i="10"/>
  <c r="J26" i="10"/>
  <c r="K26" i="10"/>
  <c r="H27" i="10"/>
  <c r="I27" i="10"/>
  <c r="J27" i="10"/>
  <c r="K27" i="10"/>
  <c r="H28" i="10"/>
  <c r="I28" i="10"/>
  <c r="J28" i="10"/>
  <c r="K28" i="10"/>
  <c r="H29" i="10"/>
  <c r="I29" i="10"/>
  <c r="J29" i="10"/>
  <c r="K29" i="10"/>
  <c r="G22" i="10"/>
  <c r="G23" i="10"/>
  <c r="G24" i="10"/>
  <c r="G25" i="10"/>
  <c r="G26" i="10"/>
  <c r="G27" i="10"/>
  <c r="G28" i="10"/>
  <c r="G29" i="10"/>
  <c r="G21" i="10"/>
  <c r="B29" i="10"/>
  <c r="B22" i="10"/>
  <c r="B23" i="10"/>
  <c r="B24" i="10"/>
  <c r="B25" i="10"/>
  <c r="B26" i="10"/>
  <c r="B27" i="10"/>
  <c r="B28" i="10"/>
  <c r="B21" i="10"/>
  <c r="G15" i="10"/>
  <c r="H15" i="10"/>
  <c r="I15" i="10"/>
  <c r="J15" i="10"/>
  <c r="K15" i="10"/>
  <c r="H14" i="10"/>
  <c r="I14" i="10"/>
  <c r="J14" i="10"/>
  <c r="K14" i="10"/>
  <c r="G14" i="10"/>
  <c r="B15" i="10"/>
  <c r="B14" i="10"/>
  <c r="H7" i="10"/>
  <c r="I7" i="10"/>
  <c r="J7" i="10"/>
  <c r="K7" i="10"/>
  <c r="H8" i="10"/>
  <c r="I8" i="10"/>
  <c r="J8" i="10"/>
  <c r="K8" i="10"/>
  <c r="G8" i="10"/>
  <c r="G7" i="10"/>
  <c r="G6" i="10"/>
  <c r="H6" i="10"/>
  <c r="I6" i="10"/>
  <c r="J6" i="10"/>
  <c r="K6" i="10"/>
  <c r="H5" i="10"/>
  <c r="H9" i="10" s="1"/>
  <c r="I5" i="10"/>
  <c r="J5" i="10"/>
  <c r="J9" i="10" s="1"/>
  <c r="K5" i="10"/>
  <c r="K9" i="10" s="1"/>
  <c r="B8" i="10"/>
  <c r="B6" i="10"/>
  <c r="B7" i="10"/>
  <c r="B5" i="10"/>
  <c r="H2" i="10"/>
  <c r="I2" i="10"/>
  <c r="J2" i="10"/>
  <c r="K2" i="10"/>
  <c r="G2" i="10"/>
  <c r="E29" i="9"/>
  <c r="F29" i="9"/>
  <c r="G29" i="9"/>
  <c r="H29" i="9"/>
  <c r="I29" i="9"/>
  <c r="J29" i="9"/>
  <c r="K29" i="9"/>
  <c r="L29" i="9"/>
  <c r="M29" i="9"/>
  <c r="N29" i="9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R6" i="6"/>
  <c r="O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H9" i="19" l="1"/>
  <c r="H10" i="19"/>
  <c r="H12" i="19"/>
  <c r="H13" i="19"/>
  <c r="H16" i="19"/>
  <c r="C7" i="6"/>
  <c r="J9" i="1" s="1"/>
  <c r="K9" i="1" s="1"/>
  <c r="C6" i="6"/>
  <c r="J8" i="1" s="1"/>
  <c r="C5" i="6"/>
  <c r="J10" i="1" s="1"/>
  <c r="K8" i="1"/>
  <c r="K54" i="10"/>
  <c r="D11" i="18" s="1"/>
  <c r="H58" i="10"/>
  <c r="H61" i="10" s="1"/>
  <c r="K53" i="10"/>
  <c r="G9" i="10"/>
  <c r="K18" i="10"/>
  <c r="J18" i="10"/>
  <c r="E29" i="1"/>
  <c r="E32" i="1"/>
  <c r="K28" i="1" s="1"/>
  <c r="M5" i="21"/>
  <c r="M4" i="21"/>
  <c r="H7" i="1"/>
  <c r="I7" i="1"/>
  <c r="H9" i="1"/>
  <c r="I9" i="1"/>
  <c r="I8" i="1"/>
  <c r="N6" i="15"/>
  <c r="N4" i="15"/>
  <c r="N7" i="15"/>
  <c r="N8" i="15"/>
  <c r="N9" i="15"/>
  <c r="O9" i="15" s="1"/>
  <c r="N10" i="15"/>
  <c r="N11" i="15"/>
  <c r="N12" i="15"/>
  <c r="N13" i="15"/>
  <c r="N5" i="15"/>
  <c r="I4" i="15"/>
  <c r="I5" i="15"/>
  <c r="I6" i="15"/>
  <c r="I7" i="15"/>
  <c r="I8" i="15"/>
  <c r="I9" i="15"/>
  <c r="I10" i="15"/>
  <c r="I11" i="15"/>
  <c r="I12" i="15"/>
  <c r="I13" i="15"/>
  <c r="D4" i="15"/>
  <c r="D6" i="15"/>
  <c r="D7" i="15"/>
  <c r="D8" i="15"/>
  <c r="D9" i="15"/>
  <c r="D10" i="15"/>
  <c r="D11" i="15"/>
  <c r="D12" i="15"/>
  <c r="D13" i="15"/>
  <c r="D5" i="15"/>
  <c r="N40" i="14"/>
  <c r="O22" i="14"/>
  <c r="N22" i="14"/>
  <c r="N18" i="14"/>
  <c r="O18" i="14"/>
  <c r="N17" i="14"/>
  <c r="O17" i="14"/>
  <c r="O13" i="14"/>
  <c r="C19" i="14"/>
  <c r="N9" i="14"/>
  <c r="O9" i="14"/>
  <c r="D58" i="13"/>
  <c r="D59" i="13" s="1"/>
  <c r="E58" i="13"/>
  <c r="E59" i="13" s="1"/>
  <c r="F58" i="13"/>
  <c r="F59" i="13" s="1"/>
  <c r="G58" i="13"/>
  <c r="G59" i="13" s="1"/>
  <c r="H58" i="13"/>
  <c r="H59" i="13" s="1"/>
  <c r="I58" i="13"/>
  <c r="I59" i="13" s="1"/>
  <c r="J58" i="13"/>
  <c r="J59" i="13" s="1"/>
  <c r="K58" i="13"/>
  <c r="K59" i="13" s="1"/>
  <c r="L58" i="13"/>
  <c r="L59" i="13" s="1"/>
  <c r="D6" i="13"/>
  <c r="D5" i="14" s="1"/>
  <c r="O5" i="14" s="1"/>
  <c r="C58" i="13"/>
  <c r="C82" i="13"/>
  <c r="C64" i="13"/>
  <c r="F11" i="13"/>
  <c r="E11" i="13"/>
  <c r="C59" i="13"/>
  <c r="C66" i="13" s="1"/>
  <c r="C68" i="13" s="1"/>
  <c r="D11" i="13"/>
  <c r="D9" i="13"/>
  <c r="C9" i="13"/>
  <c r="C11" i="13"/>
  <c r="N27" i="14"/>
  <c r="O27" i="14"/>
  <c r="N28" i="14"/>
  <c r="O28" i="14"/>
  <c r="H104" i="13"/>
  <c r="G104" i="13"/>
  <c r="F104" i="13"/>
  <c r="E104" i="13"/>
  <c r="D104" i="13"/>
  <c r="L64" i="13"/>
  <c r="K64" i="13"/>
  <c r="J64" i="13"/>
  <c r="I64" i="13"/>
  <c r="H64" i="13"/>
  <c r="G64" i="13"/>
  <c r="F64" i="13"/>
  <c r="E64" i="13"/>
  <c r="D64" i="13"/>
  <c r="J19" i="14"/>
  <c r="N13" i="14"/>
  <c r="H14" i="19"/>
  <c r="H17" i="19"/>
  <c r="K104" i="13"/>
  <c r="J104" i="13"/>
  <c r="I104" i="13"/>
  <c r="H15" i="19"/>
  <c r="N29" i="19"/>
  <c r="P29" i="19"/>
  <c r="O29" i="19"/>
  <c r="H8" i="19"/>
  <c r="O31" i="19"/>
  <c r="N31" i="19"/>
  <c r="P31" i="19"/>
  <c r="N4" i="20"/>
  <c r="K9" i="19"/>
  <c r="N5" i="20"/>
  <c r="K10" i="19"/>
  <c r="N6" i="20"/>
  <c r="K11" i="19"/>
  <c r="N7" i="20"/>
  <c r="K12" i="19"/>
  <c r="N8" i="20"/>
  <c r="K13" i="19"/>
  <c r="N9" i="20"/>
  <c r="K14" i="19"/>
  <c r="N10" i="20"/>
  <c r="K15" i="19"/>
  <c r="N11" i="20"/>
  <c r="K16" i="19"/>
  <c r="N12" i="20"/>
  <c r="K17" i="19"/>
  <c r="N3" i="20"/>
  <c r="K8" i="19"/>
  <c r="I43" i="10"/>
  <c r="J43" i="10"/>
  <c r="K43" i="10"/>
  <c r="O14" i="14"/>
  <c r="N14" i="14"/>
  <c r="N31" i="14"/>
  <c r="O31" i="14"/>
  <c r="O21" i="14"/>
  <c r="N23" i="14"/>
  <c r="O23" i="14"/>
  <c r="N25" i="14"/>
  <c r="O25" i="14"/>
  <c r="J35" i="14"/>
  <c r="N29" i="14"/>
  <c r="F11" i="19"/>
  <c r="J21" i="13"/>
  <c r="G21" i="13"/>
  <c r="E21" i="13"/>
  <c r="J15" i="13"/>
  <c r="H15" i="13"/>
  <c r="F15" i="13"/>
  <c r="C15" i="13"/>
  <c r="K9" i="13"/>
  <c r="I9" i="13"/>
  <c r="F9" i="13"/>
  <c r="N15" i="14"/>
  <c r="K21" i="13"/>
  <c r="H21" i="13"/>
  <c r="D21" i="13"/>
  <c r="L15" i="13"/>
  <c r="I15" i="13"/>
  <c r="E15" i="13"/>
  <c r="J9" i="13"/>
  <c r="G9" i="13"/>
  <c r="L94" i="13"/>
  <c r="K94" i="13"/>
  <c r="J94" i="13"/>
  <c r="I94" i="13"/>
  <c r="H94" i="13"/>
  <c r="G94" i="13"/>
  <c r="F94" i="13"/>
  <c r="E94" i="13"/>
  <c r="D94" i="13"/>
  <c r="C94" i="13"/>
  <c r="E82" i="13"/>
  <c r="D82" i="13"/>
  <c r="L82" i="13"/>
  <c r="K82" i="13"/>
  <c r="J82" i="13"/>
  <c r="I82" i="13"/>
  <c r="H82" i="13"/>
  <c r="G82" i="13"/>
  <c r="F82" i="13"/>
  <c r="N21" i="14"/>
  <c r="L24" i="13"/>
  <c r="L21" i="13"/>
  <c r="I21" i="13"/>
  <c r="F21" i="13"/>
  <c r="C21" i="13"/>
  <c r="K15" i="13"/>
  <c r="G15" i="13"/>
  <c r="D15" i="13"/>
  <c r="L9" i="13"/>
  <c r="H9" i="13"/>
  <c r="E9" i="13"/>
  <c r="N30" i="14"/>
  <c r="O30" i="14"/>
  <c r="I18" i="10"/>
  <c r="H31" i="10"/>
  <c r="H33" i="10" s="1"/>
  <c r="I31" i="10"/>
  <c r="I33" i="10" s="1"/>
  <c r="J31" i="10"/>
  <c r="J33" i="10" s="1"/>
  <c r="K31" i="10"/>
  <c r="K33" i="10" s="1"/>
  <c r="L15" i="15"/>
  <c r="G15" i="15"/>
  <c r="B15" i="15"/>
  <c r="O5" i="15"/>
  <c r="J12" i="15"/>
  <c r="E7" i="15"/>
  <c r="E5" i="15"/>
  <c r="O34" i="14"/>
  <c r="N34" i="14"/>
  <c r="N33" i="14"/>
  <c r="O33" i="14"/>
  <c r="D36" i="14"/>
  <c r="E36" i="14"/>
  <c r="F36" i="14"/>
  <c r="G36" i="14"/>
  <c r="H36" i="14"/>
  <c r="I36" i="14"/>
  <c r="K36" i="14"/>
  <c r="L36" i="14"/>
  <c r="L6" i="13"/>
  <c r="L5" i="14" s="1"/>
  <c r="L11" i="13"/>
  <c r="K6" i="13"/>
  <c r="K5" i="14" s="1"/>
  <c r="K11" i="13"/>
  <c r="J6" i="13"/>
  <c r="J5" i="14" s="1"/>
  <c r="J11" i="13"/>
  <c r="I6" i="13"/>
  <c r="I5" i="14" s="1"/>
  <c r="I11" i="13"/>
  <c r="H6" i="13"/>
  <c r="H5" i="14" s="1"/>
  <c r="H11" i="13"/>
  <c r="G6" i="13"/>
  <c r="G5" i="14" s="1"/>
  <c r="G11" i="13"/>
  <c r="F6" i="13"/>
  <c r="F5" i="14" s="1"/>
  <c r="E6" i="13"/>
  <c r="E5" i="14" s="1"/>
  <c r="H11" i="1"/>
  <c r="I11" i="1"/>
  <c r="H10" i="1"/>
  <c r="I10" i="1"/>
  <c r="H8" i="1"/>
  <c r="N9" i="19" l="1"/>
  <c r="O9" i="19"/>
  <c r="O10" i="19"/>
  <c r="N10" i="19"/>
  <c r="N12" i="19"/>
  <c r="O12" i="19"/>
  <c r="N13" i="19"/>
  <c r="O13" i="19"/>
  <c r="O16" i="19"/>
  <c r="N16" i="19"/>
  <c r="K10" i="1"/>
  <c r="J14" i="1"/>
  <c r="J13" i="1"/>
  <c r="K14" i="1"/>
  <c r="K27" i="1" s="1"/>
  <c r="K30" i="1" s="1"/>
  <c r="K21" i="1" s="1"/>
  <c r="K22" i="1" s="1"/>
  <c r="J36" i="1" s="1"/>
  <c r="K13" i="1"/>
  <c r="D13" i="18"/>
  <c r="E11" i="18"/>
  <c r="K64" i="10"/>
  <c r="K63" i="10"/>
  <c r="H35" i="10"/>
  <c r="K35" i="10"/>
  <c r="J35" i="10"/>
  <c r="C30" i="1"/>
  <c r="C106" i="13"/>
  <c r="N5" i="14"/>
  <c r="K106" i="13"/>
  <c r="C12" i="13"/>
  <c r="C11" i="14" s="1"/>
  <c r="C17" i="13"/>
  <c r="J66" i="13"/>
  <c r="J68" i="13" s="1"/>
  <c r="L66" i="13"/>
  <c r="L68" i="13" s="1"/>
  <c r="I66" i="13"/>
  <c r="I68" i="13" s="1"/>
  <c r="H66" i="13"/>
  <c r="H68" i="13" s="1"/>
  <c r="G66" i="13"/>
  <c r="G68" i="13" s="1"/>
  <c r="F66" i="13"/>
  <c r="F68" i="13" s="1"/>
  <c r="E66" i="13"/>
  <c r="E68" i="13" s="1"/>
  <c r="D66" i="13"/>
  <c r="D68" i="13" s="1"/>
  <c r="K66" i="13"/>
  <c r="K68" i="13" s="1"/>
  <c r="O19" i="14"/>
  <c r="N19" i="14"/>
  <c r="E14" i="15"/>
  <c r="O10" i="15"/>
  <c r="O14" i="19"/>
  <c r="N14" i="19"/>
  <c r="O17" i="19"/>
  <c r="N17" i="19"/>
  <c r="O15" i="19"/>
  <c r="N15" i="19"/>
  <c r="N8" i="19"/>
  <c r="O8" i="19"/>
  <c r="H106" i="13"/>
  <c r="I35" i="10"/>
  <c r="G106" i="13"/>
  <c r="H11" i="19"/>
  <c r="P11" i="19"/>
  <c r="L106" i="13"/>
  <c r="E106" i="13"/>
  <c r="J106" i="13"/>
  <c r="I106" i="13"/>
  <c r="I14" i="15"/>
  <c r="J14" i="15" s="1"/>
  <c r="D106" i="13"/>
  <c r="O35" i="14"/>
  <c r="J36" i="14"/>
  <c r="N35" i="14"/>
  <c r="N24" i="14"/>
  <c r="O24" i="14"/>
  <c r="F106" i="13"/>
  <c r="J5" i="15"/>
  <c r="N14" i="15"/>
  <c r="O14" i="15" s="1"/>
  <c r="N15" i="15"/>
  <c r="L16" i="15"/>
  <c r="I15" i="15"/>
  <c r="G16" i="15"/>
  <c r="B16" i="15"/>
  <c r="D15" i="15"/>
  <c r="O8" i="15"/>
  <c r="O6" i="15"/>
  <c r="O13" i="15"/>
  <c r="O11" i="15"/>
  <c r="J13" i="15"/>
  <c r="J10" i="15"/>
  <c r="J8" i="15"/>
  <c r="J6" i="15"/>
  <c r="E12" i="15"/>
  <c r="E10" i="15"/>
  <c r="O7" i="15"/>
  <c r="O12" i="15"/>
  <c r="J11" i="15"/>
  <c r="J9" i="15"/>
  <c r="J7" i="15"/>
  <c r="E13" i="15"/>
  <c r="E11" i="15"/>
  <c r="E9" i="15"/>
  <c r="E6" i="15"/>
  <c r="L12" i="13"/>
  <c r="L17" i="13"/>
  <c r="K12" i="13"/>
  <c r="K17" i="13"/>
  <c r="J12" i="13"/>
  <c r="J17" i="13"/>
  <c r="I12" i="13"/>
  <c r="I17" i="13"/>
  <c r="H12" i="13"/>
  <c r="H17" i="13"/>
  <c r="G12" i="13"/>
  <c r="G17" i="13"/>
  <c r="F12" i="13"/>
  <c r="F17" i="13"/>
  <c r="E12" i="13"/>
  <c r="E17" i="13"/>
  <c r="D12" i="13"/>
  <c r="D17" i="13"/>
  <c r="D30" i="1" l="1"/>
  <c r="N11" i="14"/>
  <c r="O11" i="14"/>
  <c r="D6" i="14"/>
  <c r="O6" i="14" s="1"/>
  <c r="L6" i="14"/>
  <c r="K6" i="14"/>
  <c r="J6" i="14"/>
  <c r="I6" i="14"/>
  <c r="H6" i="14"/>
  <c r="G6" i="14"/>
  <c r="E6" i="14"/>
  <c r="F6" i="14"/>
  <c r="C29" i="13"/>
  <c r="C26" i="13" s="1"/>
  <c r="C27" i="13" s="1"/>
  <c r="C18" i="13"/>
  <c r="C12" i="14" s="1"/>
  <c r="N39" i="14"/>
  <c r="O11" i="19"/>
  <c r="N11" i="19"/>
  <c r="P22" i="19"/>
  <c r="P30" i="19" s="1"/>
  <c r="P19" i="19"/>
  <c r="P21" i="19"/>
  <c r="P24" i="19"/>
  <c r="P20" i="19"/>
  <c r="P23" i="19"/>
  <c r="O15" i="15"/>
  <c r="J15" i="15"/>
  <c r="O36" i="14"/>
  <c r="N36" i="14"/>
  <c r="E15" i="15"/>
  <c r="N16" i="15"/>
  <c r="O16" i="15" s="1"/>
  <c r="L17" i="15"/>
  <c r="G17" i="15"/>
  <c r="I16" i="15"/>
  <c r="J16" i="15" s="1"/>
  <c r="D16" i="15"/>
  <c r="E16" i="15" s="1"/>
  <c r="B17" i="15"/>
  <c r="L18" i="13"/>
  <c r="L29" i="13"/>
  <c r="L26" i="13" s="1"/>
  <c r="L27" i="13" s="1"/>
  <c r="K18" i="13"/>
  <c r="K29" i="13"/>
  <c r="J18" i="13"/>
  <c r="J29" i="13"/>
  <c r="I18" i="13"/>
  <c r="I29" i="13"/>
  <c r="H18" i="13"/>
  <c r="H29" i="13"/>
  <c r="G18" i="13"/>
  <c r="G29" i="13"/>
  <c r="F18" i="13"/>
  <c r="F29" i="13"/>
  <c r="F26" i="13" s="1"/>
  <c r="F27" i="13" s="1"/>
  <c r="E18" i="13"/>
  <c r="E29" i="13"/>
  <c r="E26" i="13" s="1"/>
  <c r="E27" i="13" s="1"/>
  <c r="D18" i="13"/>
  <c r="D29" i="13"/>
  <c r="D26" i="13" s="1"/>
  <c r="D27" i="13" s="1"/>
  <c r="O23" i="19" l="1"/>
  <c r="O19" i="19"/>
  <c r="F7" i="14"/>
  <c r="O12" i="14"/>
  <c r="N12" i="14"/>
  <c r="K26" i="13"/>
  <c r="K27" i="13" s="1"/>
  <c r="J26" i="13"/>
  <c r="J27" i="13" s="1"/>
  <c r="I26" i="13"/>
  <c r="I27" i="13" s="1"/>
  <c r="H26" i="13"/>
  <c r="H27" i="13" s="1"/>
  <c r="G26" i="13"/>
  <c r="E7" i="14"/>
  <c r="D7" i="14"/>
  <c r="N6" i="14"/>
  <c r="C33" i="13"/>
  <c r="C30" i="13"/>
  <c r="C35" i="13"/>
  <c r="C40" i="13" s="1"/>
  <c r="P28" i="19"/>
  <c r="P33" i="19"/>
  <c r="P36" i="19" s="1"/>
  <c r="O24" i="19"/>
  <c r="O21" i="19"/>
  <c r="O20" i="19"/>
  <c r="O22" i="19"/>
  <c r="O28" i="19" s="1"/>
  <c r="O30" i="19" s="1"/>
  <c r="O33" i="19" s="1"/>
  <c r="O36" i="19" s="1"/>
  <c r="N21" i="19"/>
  <c r="N19" i="19"/>
  <c r="N23" i="19"/>
  <c r="N20" i="19"/>
  <c r="N22" i="19"/>
  <c r="N28" i="19" s="1"/>
  <c r="N30" i="19" s="1"/>
  <c r="N33" i="19" s="1"/>
  <c r="N36" i="19" s="1"/>
  <c r="N24" i="19"/>
  <c r="L18" i="15"/>
  <c r="N18" i="15" s="1"/>
  <c r="N17" i="15"/>
  <c r="O17" i="15" s="1"/>
  <c r="I17" i="15"/>
  <c r="J17" i="15" s="1"/>
  <c r="G18" i="15"/>
  <c r="I18" i="15" s="1"/>
  <c r="D17" i="15"/>
  <c r="E17" i="15" s="1"/>
  <c r="B18" i="15"/>
  <c r="D18" i="15" s="1"/>
  <c r="L33" i="13"/>
  <c r="L30" i="13"/>
  <c r="L35" i="13"/>
  <c r="K33" i="13"/>
  <c r="K30" i="13"/>
  <c r="K35" i="13"/>
  <c r="J33" i="13"/>
  <c r="J30" i="13"/>
  <c r="J35" i="13"/>
  <c r="I33" i="13"/>
  <c r="I30" i="13"/>
  <c r="I35" i="13"/>
  <c r="H33" i="13"/>
  <c r="H30" i="13"/>
  <c r="H35" i="13"/>
  <c r="G33" i="13"/>
  <c r="G30" i="13"/>
  <c r="G35" i="13"/>
  <c r="F33" i="13"/>
  <c r="F30" i="13"/>
  <c r="F35" i="13"/>
  <c r="E33" i="13"/>
  <c r="E30" i="13"/>
  <c r="E35" i="13"/>
  <c r="D33" i="13"/>
  <c r="D30" i="13"/>
  <c r="D35" i="13"/>
  <c r="D8" i="14" s="1"/>
  <c r="K45" i="10" l="1"/>
  <c r="K47" i="10" s="1"/>
  <c r="J59" i="10"/>
  <c r="J45" i="10"/>
  <c r="J47" i="10" s="1"/>
  <c r="I59" i="10"/>
  <c r="I45" i="10"/>
  <c r="I47" i="10" s="1"/>
  <c r="H59" i="10"/>
  <c r="H45" i="10"/>
  <c r="H47" i="10" s="1"/>
  <c r="L8" i="14"/>
  <c r="K8" i="14"/>
  <c r="J8" i="14"/>
  <c r="I8" i="14"/>
  <c r="H8" i="14"/>
  <c r="G8" i="14"/>
  <c r="F8" i="14"/>
  <c r="E8" i="14"/>
  <c r="G7" i="14"/>
  <c r="G27" i="13"/>
  <c r="L7" i="14"/>
  <c r="K7" i="14"/>
  <c r="J7" i="14"/>
  <c r="I7" i="14"/>
  <c r="H7" i="14"/>
  <c r="O8" i="14"/>
  <c r="N8" i="14"/>
  <c r="C36" i="13"/>
  <c r="C44" i="13"/>
  <c r="E18" i="15"/>
  <c r="K37" i="1"/>
  <c r="E26" i="18" s="1"/>
  <c r="J18" i="15"/>
  <c r="O18" i="15"/>
  <c r="L36" i="13"/>
  <c r="L40" i="13"/>
  <c r="K40" i="13"/>
  <c r="K36" i="13"/>
  <c r="J36" i="13"/>
  <c r="J40" i="13"/>
  <c r="I36" i="13"/>
  <c r="I40" i="13"/>
  <c r="H36" i="13"/>
  <c r="H40" i="13"/>
  <c r="G36" i="13"/>
  <c r="G40" i="13"/>
  <c r="F36" i="13"/>
  <c r="F40" i="13"/>
  <c r="E36" i="13"/>
  <c r="E40" i="13"/>
  <c r="D36" i="13"/>
  <c r="D40" i="13"/>
  <c r="D41" i="13" s="1"/>
  <c r="I15" i="18" l="1"/>
  <c r="E29" i="18"/>
  <c r="E15" i="18"/>
  <c r="D15" i="18"/>
  <c r="N7" i="14"/>
  <c r="O7" i="14"/>
  <c r="H15" i="18"/>
  <c r="G15" i="18"/>
  <c r="F15" i="18"/>
  <c r="F11" i="18"/>
  <c r="G11" i="18" s="1"/>
  <c r="H11" i="18" s="1"/>
  <c r="E19" i="18"/>
  <c r="E5" i="18" s="1"/>
  <c r="E9" i="18" s="1"/>
  <c r="E13" i="18" s="1"/>
  <c r="L44" i="13"/>
  <c r="L46" i="13" s="1"/>
  <c r="L41" i="13"/>
  <c r="K44" i="13"/>
  <c r="K46" i="13"/>
  <c r="K41" i="13"/>
  <c r="J44" i="13"/>
  <c r="J46" i="13" s="1"/>
  <c r="J41" i="13"/>
  <c r="I44" i="13"/>
  <c r="I46" i="13" s="1"/>
  <c r="I41" i="13"/>
  <c r="H44" i="13"/>
  <c r="H41" i="13"/>
  <c r="H46" i="13"/>
  <c r="G44" i="13"/>
  <c r="G46" i="13" s="1"/>
  <c r="G41" i="13"/>
  <c r="F44" i="13"/>
  <c r="F46" i="13" s="1"/>
  <c r="F41" i="13"/>
  <c r="E44" i="13"/>
  <c r="E46" i="13" s="1"/>
  <c r="E41" i="13"/>
  <c r="D44" i="13"/>
  <c r="D46" i="13"/>
  <c r="E35" i="18" l="1"/>
  <c r="D17" i="18"/>
  <c r="F5" i="18"/>
  <c r="E17" i="18"/>
  <c r="F9" i="18" l="1"/>
  <c r="F13" i="18" s="1"/>
  <c r="F17" i="18" s="1"/>
  <c r="G5" i="18"/>
  <c r="G9" i="18" l="1"/>
  <c r="G13" i="18" s="1"/>
  <c r="G17" i="18" s="1"/>
  <c r="H5" i="18"/>
  <c r="H9" i="18" l="1"/>
  <c r="H13" i="18" s="1"/>
  <c r="H17" i="18" s="1"/>
  <c r="I5" i="18"/>
  <c r="I9" i="18" s="1"/>
  <c r="I13" i="18" s="1"/>
  <c r="I17" i="18" l="1"/>
  <c r="E34" i="18" s="1"/>
  <c r="E36" i="18" s="1"/>
  <c r="E40" i="18" s="1"/>
  <c r="E42" i="18" s="1"/>
  <c r="E45" i="18" s="1"/>
  <c r="H23" i="18" l="1"/>
</calcChain>
</file>

<file path=xl/sharedStrings.xml><?xml version="1.0" encoding="utf-8"?>
<sst xmlns="http://schemas.openxmlformats.org/spreadsheetml/2006/main" count="578" uniqueCount="383">
  <si>
    <t>All figures are in INR unless stated otherwise</t>
  </si>
  <si>
    <t>Peer Companies</t>
  </si>
  <si>
    <t>Name of the Comapany</t>
  </si>
  <si>
    <t>Country</t>
  </si>
  <si>
    <t xml:space="preserve">Total Debt </t>
  </si>
  <si>
    <t>Total Equity</t>
  </si>
  <si>
    <r>
      <t xml:space="preserve">Tax Rate </t>
    </r>
    <r>
      <rPr>
        <vertAlign val="superscript"/>
        <sz val="11"/>
        <color theme="1"/>
        <rFont val="Calibri"/>
        <family val="2"/>
      </rPr>
      <t>1</t>
    </r>
  </si>
  <si>
    <t>Debt /</t>
  </si>
  <si>
    <t>Levered</t>
  </si>
  <si>
    <t>Unlevered</t>
  </si>
  <si>
    <t>Equity</t>
  </si>
  <si>
    <t xml:space="preserve">Capital </t>
  </si>
  <si>
    <r>
      <t xml:space="preserve">Beta </t>
    </r>
    <r>
      <rPr>
        <vertAlign val="superscript"/>
        <sz val="11"/>
        <color theme="1"/>
        <rFont val="Calibri"/>
        <family val="2"/>
      </rPr>
      <t>2</t>
    </r>
  </si>
  <si>
    <t>Beta 3</t>
  </si>
  <si>
    <r>
      <t xml:space="preserve">Beta </t>
    </r>
    <r>
      <rPr>
        <vertAlign val="superscript"/>
        <sz val="11"/>
        <color theme="1"/>
        <rFont val="Calibri"/>
        <family val="2"/>
      </rPr>
      <t>3</t>
    </r>
  </si>
  <si>
    <t>India</t>
  </si>
  <si>
    <t xml:space="preserve"> </t>
  </si>
  <si>
    <t>Average</t>
  </si>
  <si>
    <t>Median</t>
  </si>
  <si>
    <t>Cost of debt</t>
  </si>
  <si>
    <t>Pre - Tax Cost of debt</t>
  </si>
  <si>
    <t>Post - Tax Cost of debt</t>
  </si>
  <si>
    <t>Tax Rate</t>
  </si>
  <si>
    <t>Cost of Equity</t>
  </si>
  <si>
    <t>Risk Free Rate</t>
  </si>
  <si>
    <t xml:space="preserve">Equity Risk Premium </t>
  </si>
  <si>
    <r>
      <t xml:space="preserve">Levered Beta </t>
    </r>
    <r>
      <rPr>
        <vertAlign val="superscript"/>
        <sz val="11"/>
        <color theme="1"/>
        <rFont val="Calibri"/>
        <family val="2"/>
      </rPr>
      <t>4</t>
    </r>
  </si>
  <si>
    <t>Cost Of Equity</t>
  </si>
  <si>
    <t>Capital Structure</t>
  </si>
  <si>
    <t>Current</t>
  </si>
  <si>
    <t>Target</t>
  </si>
  <si>
    <t>Total Debt</t>
  </si>
  <si>
    <t>Market Capitalisation</t>
  </si>
  <si>
    <t>Total Capital</t>
  </si>
  <si>
    <t>Levered Beta</t>
  </si>
  <si>
    <t>Companies Median Unlevered Beta</t>
  </si>
  <si>
    <t>Target Debt / Equity</t>
  </si>
  <si>
    <t>Debt / Equity</t>
  </si>
  <si>
    <t>Weighted Average Cost Of Capital</t>
  </si>
  <si>
    <t>Total Cost</t>
  </si>
  <si>
    <t>Total Weight</t>
  </si>
  <si>
    <t>Debt</t>
  </si>
  <si>
    <t>Notes:</t>
  </si>
  <si>
    <t>1. Tax Rate considered as Marginal Tax Rate for the country</t>
  </si>
  <si>
    <t>3. Unlevered Beta = Levered Beta/(1+(1-Tax Rate) x Debt/Equity)</t>
  </si>
  <si>
    <t>4. Levered Beta = Unlevered Beta*(1+(1-Tax Rate) x Debt/Equity)</t>
  </si>
  <si>
    <t>Regression Beta</t>
  </si>
  <si>
    <t>Date</t>
  </si>
  <si>
    <t>Closing Price</t>
  </si>
  <si>
    <t>Monthly Return</t>
  </si>
  <si>
    <t>-</t>
  </si>
  <si>
    <t>Beta Drifting</t>
  </si>
  <si>
    <t>Levered Raw Beta</t>
  </si>
  <si>
    <t>Raw Beta Weight</t>
  </si>
  <si>
    <t>Market Beta</t>
  </si>
  <si>
    <t>Market Beta Weight</t>
  </si>
  <si>
    <t>Adjusted Beta</t>
  </si>
  <si>
    <t>Beta 1</t>
  </si>
  <si>
    <t>Beta 2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</si>
  <si>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</si>
  <si>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</si>
  <si>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</si>
  <si>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</si>
  <si>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</si>
  <si>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</si>
  <si>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</si>
  <si>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</si>
  <si>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</si>
  <si>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</si>
  <si>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</si>
  <si>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</si>
  <si>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</si>
  <si>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</si>
  <si>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</si>
  <si>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</si>
  <si>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</si>
  <si>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</si>
  <si>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</si>
  <si>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</si>
  <si>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</si>
  <si>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</si>
  <si>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</si>
  <si>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</si>
  <si>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</si>
  <si>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S.No.</t>
  </si>
  <si>
    <t>Name</t>
  </si>
  <si>
    <t>Debt / Eq</t>
  </si>
  <si>
    <t>CMP Rs.</t>
  </si>
  <si>
    <t xml:space="preserve">Mar Cap Rs.Cr. </t>
  </si>
  <si>
    <t>Debt Rs.Cr.</t>
  </si>
  <si>
    <t>Year</t>
  </si>
  <si>
    <t>Annual</t>
  </si>
  <si>
    <t>Return on Markets</t>
  </si>
  <si>
    <t>Average Return</t>
  </si>
  <si>
    <t>Dividend Yield</t>
  </si>
  <si>
    <t>Total Market Returns</t>
  </si>
  <si>
    <t>Equity Capital</t>
  </si>
  <si>
    <t>Reserves</t>
  </si>
  <si>
    <t>Long term Borrowings</t>
  </si>
  <si>
    <t>Short term Borrowings</t>
  </si>
  <si>
    <t>Lease Liabilities</t>
  </si>
  <si>
    <t>Non controlling int</t>
  </si>
  <si>
    <t>Trade Payables</t>
  </si>
  <si>
    <t>Other liability items</t>
  </si>
  <si>
    <t>Total Liabilities</t>
  </si>
  <si>
    <t>Land</t>
  </si>
  <si>
    <t>Building</t>
  </si>
  <si>
    <t>Plant Machinery</t>
  </si>
  <si>
    <t>Equipments</t>
  </si>
  <si>
    <t>Computers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</si>
  <si>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</si>
  <si>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</si>
  <si>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</si>
  <si>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</si>
  <si>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</si>
  <si>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</si>
  <si>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</si>
  <si>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Investments</t>
  </si>
  <si>
    <t>Inventories</t>
  </si>
  <si>
    <t>Trade receivables</t>
  </si>
  <si>
    <t>Cash Equivalents</t>
  </si>
  <si>
    <t>Other asset items</t>
  </si>
  <si>
    <t>Total Assets</t>
  </si>
  <si>
    <t>Borrowings -</t>
  </si>
  <si>
    <t>Other Liabilities -</t>
  </si>
  <si>
    <t>Fixed Assets -</t>
  </si>
  <si>
    <t>Other Assets -</t>
  </si>
  <si>
    <t>Particulars</t>
  </si>
  <si>
    <t>Net Block</t>
  </si>
  <si>
    <t>Loans &amp; Advances</t>
  </si>
  <si>
    <t>Calculation of ROIC</t>
  </si>
  <si>
    <t>Current Assets</t>
  </si>
  <si>
    <t>Current Liabilities</t>
  </si>
  <si>
    <t>Total Current Assets</t>
  </si>
  <si>
    <t>Total Current Liabilities</t>
  </si>
  <si>
    <t>Net Working Capital</t>
  </si>
  <si>
    <t>#</t>
  </si>
  <si>
    <t>Non Current Assets</t>
  </si>
  <si>
    <t>Net Non Current Assets</t>
  </si>
  <si>
    <t>Invested Capital</t>
  </si>
  <si>
    <t>EBIT</t>
  </si>
  <si>
    <t>ROIC</t>
  </si>
  <si>
    <t>Calculation of Reinvestment Rate</t>
  </si>
  <si>
    <t>Net Capex</t>
  </si>
  <si>
    <t>Change in Working Capital</t>
  </si>
  <si>
    <t>Marginal Tax Rate</t>
  </si>
  <si>
    <t>EBIT(1-T)</t>
  </si>
  <si>
    <t>Reinvestment</t>
  </si>
  <si>
    <t>Reinvestment Rate</t>
  </si>
  <si>
    <t>Calculation of Growth Rate</t>
  </si>
  <si>
    <t>Intrinsic Growth</t>
  </si>
  <si>
    <t>COMPANY NAME</t>
  </si>
  <si>
    <t>HINDUSTAN UNILEVER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</si>
  <si>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</si>
  <si>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</si>
  <si>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</si>
  <si>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</si>
  <si>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</si>
  <si>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</si>
  <si>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</si>
  <si>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</si>
  <si>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</si>
  <si>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</si>
  <si>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</si>
  <si>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</si>
  <si>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</si>
  <si>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</si>
  <si>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</si>
  <si>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</si>
  <si>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</si>
  <si>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</si>
  <si>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</si>
  <si>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</si>
  <si>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</si>
  <si>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</si>
  <si>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</si>
  <si>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</si>
  <si>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</si>
  <si>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Quarters</t>
  </si>
  <si>
    <t>Expenses</t>
  </si>
  <si>
    <t>Operating Profit</t>
  </si>
  <si>
    <t>BALANCE SHEET</t>
  </si>
  <si>
    <t>Equity Share Capital</t>
  </si>
  <si>
    <t>Borrowings</t>
  </si>
  <si>
    <t>Other Liabilities</t>
  </si>
  <si>
    <t>Capital Work in Progress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</si>
  <si>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</si>
  <si>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</si>
  <si>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</si>
  <si>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</si>
  <si>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</si>
  <si>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</si>
  <si>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</si>
  <si>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</si>
  <si>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</si>
  <si>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</si>
  <si>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</si>
  <si>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</si>
  <si>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</si>
  <si>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</si>
  <si>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</si>
  <si>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Cash from Operating Activity -</t>
  </si>
  <si>
    <t>Profit from operations</t>
  </si>
  <si>
    <t>Payables</t>
  </si>
  <si>
    <t>Loans Advances</t>
  </si>
  <si>
    <t>Operating investments</t>
  </si>
  <si>
    <t>Other WC items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</si>
  <si>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</si>
  <si>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</si>
  <si>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</si>
  <si>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</si>
  <si>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</si>
  <si>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</si>
  <si>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</si>
  <si>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</si>
  <si>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</si>
  <si>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</si>
  <si>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</si>
  <si>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</si>
  <si>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</si>
  <si>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</si>
  <si>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</si>
  <si>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</si>
  <si>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</si>
  <si>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Financial liabilities</t>
  </si>
  <si>
    <t>Other financing items</t>
  </si>
  <si>
    <t>Years</t>
  </si>
  <si>
    <t>Income Statement</t>
  </si>
  <si>
    <t>Sales Growth</t>
  </si>
  <si>
    <t>COGS</t>
  </si>
  <si>
    <t>COGS % Sales</t>
  </si>
  <si>
    <t>Gross Profit</t>
  </si>
  <si>
    <t>Gross Margin %</t>
  </si>
  <si>
    <t xml:space="preserve">Selling &amp;  Other expenses </t>
  </si>
  <si>
    <t>S&amp;G Expenses % Sales</t>
  </si>
  <si>
    <t>EBIDTA</t>
  </si>
  <si>
    <t>EBIDTA Margins</t>
  </si>
  <si>
    <t>Interest % Sales</t>
  </si>
  <si>
    <t>Depreciation % Sales</t>
  </si>
  <si>
    <t>EBT</t>
  </si>
  <si>
    <t>EBT % Sales</t>
  </si>
  <si>
    <t>Taxes</t>
  </si>
  <si>
    <t>Effective tax rate</t>
  </si>
  <si>
    <t>Net Profit</t>
  </si>
  <si>
    <t>Net Margins</t>
  </si>
  <si>
    <t>No of Equity Shares</t>
  </si>
  <si>
    <t>EPS</t>
  </si>
  <si>
    <t>EPS Growth %</t>
  </si>
  <si>
    <t>DPS</t>
  </si>
  <si>
    <t>Dividend Payout  ratio</t>
  </si>
  <si>
    <t xml:space="preserve">Retained Earnings </t>
  </si>
  <si>
    <t>Balance sheet</t>
  </si>
  <si>
    <t>Fixed Assets Net Block</t>
  </si>
  <si>
    <t>Total  Non - Current Assets</t>
  </si>
  <si>
    <t>Check</t>
  </si>
  <si>
    <t>Cash Flow Statements</t>
  </si>
  <si>
    <t>Operating Activities</t>
  </si>
  <si>
    <t>Cash from Operating Activities</t>
  </si>
  <si>
    <t>Investing Activities</t>
  </si>
  <si>
    <t>Cash from Investing Activities</t>
  </si>
  <si>
    <t xml:space="preserve">Financing Activities </t>
  </si>
  <si>
    <t>Cash from Financing  Activities</t>
  </si>
  <si>
    <t>CFO/Total Debt</t>
  </si>
  <si>
    <t>CFO/Total Assets</t>
  </si>
  <si>
    <t>CFO/Sales</t>
  </si>
  <si>
    <t>Cash Conversion Cycle (in days)</t>
  </si>
  <si>
    <t>Inventory Days</t>
  </si>
  <si>
    <t>Payable Days</t>
  </si>
  <si>
    <t>Debtor Days</t>
  </si>
  <si>
    <t>Capital Turnover Ratio</t>
  </si>
  <si>
    <t>Fixed Asset Turnover</t>
  </si>
  <si>
    <t>Inventory Turnover</t>
  </si>
  <si>
    <t>Creditor Turnover Ratio</t>
  </si>
  <si>
    <t>Debtor Turnover Ratio</t>
  </si>
  <si>
    <t>Interest Coverage Ratio</t>
  </si>
  <si>
    <t>Self Sustained Growth Rate</t>
  </si>
  <si>
    <t>Return on Equity%</t>
  </si>
  <si>
    <t>Retained Earnings%</t>
  </si>
  <si>
    <t>Return on Capital Employed</t>
  </si>
  <si>
    <t>OperatingIncome%Sales</t>
  </si>
  <si>
    <t>Depreciation%Sales</t>
  </si>
  <si>
    <t>SalesExpenses%Sales</t>
  </si>
  <si>
    <t>Net Profit Margin</t>
  </si>
  <si>
    <t>EBT Margin</t>
  </si>
  <si>
    <t>EBIT Margin</t>
  </si>
  <si>
    <t>EBITDA Margin</t>
  </si>
  <si>
    <t>Gross Margin</t>
  </si>
  <si>
    <t>Dividend Growth</t>
  </si>
  <si>
    <t>Net Profit Growth</t>
  </si>
  <si>
    <t>EBITDA Growth</t>
  </si>
  <si>
    <t>SalesGrowth</t>
  </si>
  <si>
    <t>Mean</t>
  </si>
  <si>
    <t>Trend</t>
  </si>
  <si>
    <t>Year Weight</t>
  </si>
  <si>
    <t>4 Year Average</t>
  </si>
  <si>
    <t>4 Year Median</t>
  </si>
  <si>
    <t>Calculation of PV of FCFF</t>
  </si>
  <si>
    <t>EBIT (1-T)</t>
  </si>
  <si>
    <t>Less: Reinvestment Rate</t>
  </si>
  <si>
    <t>Discounting Factor</t>
  </si>
  <si>
    <t>PV of FCFF</t>
  </si>
  <si>
    <t>Expected Growth</t>
  </si>
  <si>
    <t>Terminal Growth</t>
  </si>
  <si>
    <t>Calculation of Terminal Value</t>
  </si>
  <si>
    <t>FCFF (n+1)</t>
  </si>
  <si>
    <t>WACC</t>
  </si>
  <si>
    <t>Terminal Growth Rate</t>
  </si>
  <si>
    <t>Terminal Value</t>
  </si>
  <si>
    <t>Calculation of Enterprise Value</t>
  </si>
  <si>
    <t>PV of Terminal Value</t>
  </si>
  <si>
    <t>Value of Operating Asset</t>
  </si>
  <si>
    <t>Add: Cash</t>
  </si>
  <si>
    <t>Less: Debt</t>
  </si>
  <si>
    <t>Value of Equity</t>
  </si>
  <si>
    <t>No. of Shares</t>
  </si>
  <si>
    <t>Value per Share</t>
  </si>
  <si>
    <t>EBITDA</t>
  </si>
  <si>
    <t>Free Cash Flow to Firm (FCFF)</t>
  </si>
  <si>
    <t>Share Price</t>
  </si>
  <si>
    <t>Discount / Premium</t>
  </si>
  <si>
    <t>Hind. Unilever</t>
  </si>
  <si>
    <t>ITC</t>
  </si>
  <si>
    <t>Nestle India</t>
  </si>
  <si>
    <t>Varun Beverages</t>
  </si>
  <si>
    <t>Britannia Inds.</t>
  </si>
  <si>
    <t>Godrej Consumer</t>
  </si>
  <si>
    <t>Marico</t>
  </si>
  <si>
    <t>Tata Consumer</t>
  </si>
  <si>
    <t>United Spirits</t>
  </si>
  <si>
    <t>Dabur India</t>
  </si>
  <si>
    <t>Sales Rs.Cr.</t>
  </si>
  <si>
    <t>No. Eq. Shares Cr.</t>
  </si>
  <si>
    <t>Cash End Rs.Cr.</t>
  </si>
  <si>
    <t>EBITDA Margins</t>
  </si>
  <si>
    <t>EV</t>
  </si>
  <si>
    <t>NP</t>
  </si>
  <si>
    <t>Amount in crores</t>
  </si>
  <si>
    <t>Comparable Company Valuation</t>
  </si>
  <si>
    <t>Market Data</t>
  </si>
  <si>
    <t>Financials</t>
  </si>
  <si>
    <t>Valuation</t>
  </si>
  <si>
    <t>Company</t>
  </si>
  <si>
    <t>Ticker</t>
  </si>
  <si>
    <t>Shares Outstanding</t>
  </si>
  <si>
    <t>Equity Value</t>
  </si>
  <si>
    <t>Net Debt</t>
  </si>
  <si>
    <t>Enterprise Value</t>
  </si>
  <si>
    <t>Revenue</t>
  </si>
  <si>
    <t>Net Income</t>
  </si>
  <si>
    <t>EV/Revenue</t>
  </si>
  <si>
    <t>EV/EBITDA</t>
  </si>
  <si>
    <t>P/E</t>
  </si>
  <si>
    <t>High</t>
  </si>
  <si>
    <t>75th Percentile</t>
  </si>
  <si>
    <t>25th Percentile</t>
  </si>
  <si>
    <t>Low</t>
  </si>
  <si>
    <t>Implied Enterprise Value</t>
  </si>
  <si>
    <t>Implied Market Value</t>
  </si>
  <si>
    <t>Implied Value per Share</t>
  </si>
  <si>
    <t>Source: The Valuation School, Screener.in</t>
  </si>
  <si>
    <t>HUL Comparable Valuation</t>
  </si>
  <si>
    <t>Sensitivity Analysis</t>
  </si>
  <si>
    <t>EBIDTA Growth</t>
  </si>
  <si>
    <t>EPS Growth</t>
  </si>
  <si>
    <r>
      <t>Cash from Operating Activity </t>
    </r>
    <r>
      <rPr>
        <sz val="11"/>
        <color rgb="FF665EFD"/>
        <rFont val="Calibri"/>
        <family val="2"/>
      </rPr>
      <t>-</t>
    </r>
  </si>
  <si>
    <t>Operating Deposits</t>
  </si>
  <si>
    <t>Other operating items</t>
  </si>
  <si>
    <t>Exceptional CF items</t>
  </si>
  <si>
    <r>
      <t>Cash from Investing Activity </t>
    </r>
    <r>
      <rPr>
        <sz val="11"/>
        <color rgb="FF665EFD"/>
        <rFont val="Calibri"/>
        <family val="2"/>
      </rPr>
      <t>-</t>
    </r>
  </si>
  <si>
    <t>Acquisition of companies</t>
  </si>
  <si>
    <r>
      <t>Cash from Financing Activity </t>
    </r>
    <r>
      <rPr>
        <sz val="11"/>
        <color rgb="FF665EFD"/>
        <rFont val="Calibri"/>
        <family val="2"/>
      </rPr>
      <t>-</t>
    </r>
  </si>
  <si>
    <t>Dividends paid</t>
  </si>
  <si>
    <t>EBIT Growth</t>
  </si>
  <si>
    <t>EBIT % Sales</t>
  </si>
  <si>
    <t>NIFTY Weekly Returns</t>
  </si>
  <si>
    <t>dabur</t>
  </si>
  <si>
    <t>2. Levered Beta is based on 2 years weekly data</t>
  </si>
  <si>
    <t>Advance from Customers</t>
  </si>
  <si>
    <t>NIFTY</t>
  </si>
  <si>
    <t>DABUR</t>
  </si>
  <si>
    <t>GODREJ</t>
  </si>
  <si>
    <t>MARICO</t>
  </si>
  <si>
    <t>NESTLE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</si>
</sst>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 * #,##0.00_ ;_ * \-#,##0.00_ ;_ * &quot;-&quot;??_ ;_ @_ "/>
    <numFmt numFmtId="164" formatCode="#,##0.0;\-#,##0"/>
    <numFmt numFmtId="165" formatCode="0.000000000000000%"/>
    <numFmt numFmtId="166" formatCode="#,##0.0;\(#,##0.0\)"/>
    <numFmt numFmtId="167" formatCode="[$-409]mmm\-yy;@"/>
    <numFmt numFmtId="168" formatCode="_(* #,##0.00_);_(* \(#,##0.00\);_(* &quot;-&quot;??_);_(@_)"/>
    <numFmt numFmtId="169" formatCode="&quot;₹&quot;\ #,##0.0;\(&quot;₹&quot;\ #,##0.0\);\-"/>
    <numFmt numFmtId="170" formatCode="&quot;₹&quot;\ #,##0.0"/>
    <numFmt numFmtId="171" formatCode="0.00\x"/>
    <numFmt numFmtId="172" formatCode="yyyy&quot;A&quot;"/>
    <numFmt numFmtId="173" formatCode="yyyy&quot;E&quot;"/>
    <numFmt numFmtId="174" formatCode="0.000"/>
    <numFmt numFmtId="175" formatCode="#,##0.0"/>
    <numFmt numFmtId="176" formatCode="#,##0.00\x"/>
    <numFmt numFmtId="177" formatCode="0.000%"/>
    <numFmt numFmtId="178" formatCode="0.0%"/>
    <numFmt numFmtId="179" formatCode="0.0"/>
    <numFmt numFmtId="180" formatCode="#,##0.0;\-#,##0.0"/>
    <numFmt numFmtId="181" formatCode="[$-14009]dd/mm/yyyy;@"/>
  </numFmts>
  <fonts count="29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sz val="11"/>
      <color rgb="FF333399"/>
      <name val="Calibri"/>
      <family val="2"/>
    </font>
    <font>
      <i/>
      <sz val="9"/>
      <color theme="1"/>
      <name val="Calibri"/>
      <family val="2"/>
    </font>
    <font>
      <b/>
      <i/>
      <sz val="9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1E4E79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5" tint="0.3999755851924192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3333FF"/>
      <name val="Calibri"/>
      <family val="2"/>
    </font>
    <font>
      <b/>
      <sz val="12"/>
      <color rgb="FF002060"/>
      <name val="Calibri"/>
      <family val="2"/>
    </font>
    <font>
      <sz val="11"/>
      <color theme="0"/>
      <name val="Calibri"/>
      <family val="2"/>
    </font>
    <font>
      <sz val="11"/>
      <color rgb="FF606F7B"/>
      <name val="Calibri"/>
      <family val="2"/>
    </font>
    <font>
      <sz val="11"/>
      <color theme="1"/>
      <name val="Calibri"/>
      <family val="2"/>
    </font>
    <font>
      <sz val="11"/>
      <color rgb="FF665EFD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rgb="FF01529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otted">
        <color rgb="FF002060"/>
      </top>
      <bottom style="dotted">
        <color rgb="FF002060"/>
      </bottom>
      <diagonal/>
    </border>
    <border>
      <left/>
      <right/>
      <top/>
      <bottom style="dotted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/>
      <top/>
      <bottom style="medium">
        <color rgb="FFDBE4F0"/>
      </bottom>
      <diagonal/>
    </border>
    <border>
      <left/>
      <right/>
      <top style="medium">
        <color rgb="FFDBE4F0"/>
      </top>
      <bottom/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/>
      <bottom style="medium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7" fillId="6" borderId="0" applyNumberFormat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3">
    <xf numFmtId="0" fontId="0" fillId="0" borderId="0" xfId="0"/>
    <xf numFmtId="0" fontId="5" fillId="0" borderId="0" xfId="0" applyFont="1"/>
    <xf numFmtId="0" fontId="0" fillId="0" borderId="1" xfId="0" applyBorder="1"/>
    <xf numFmtId="0" fontId="0" fillId="0" borderId="2" xfId="0" applyBorder="1"/>
    <xf numFmtId="10" fontId="0" fillId="0" borderId="0" xfId="0" applyNumberFormat="1"/>
    <xf numFmtId="0" fontId="7" fillId="0" borderId="0" xfId="0" applyFont="1"/>
    <xf numFmtId="10" fontId="7" fillId="0" borderId="0" xfId="0" applyNumberFormat="1" applyFont="1"/>
    <xf numFmtId="10" fontId="7" fillId="0" borderId="0" xfId="1" applyNumberFormat="1" applyFont="1"/>
    <xf numFmtId="9" fontId="0" fillId="0" borderId="0" xfId="1" applyFont="1"/>
    <xf numFmtId="10" fontId="1" fillId="2" borderId="0" xfId="1" applyNumberFormat="1" applyFont="1" applyFill="1"/>
    <xf numFmtId="2" fontId="0" fillId="0" borderId="0" xfId="0" applyNumberFormat="1"/>
    <xf numFmtId="2" fontId="0" fillId="2" borderId="0" xfId="0" applyNumberFormat="1" applyFill="1"/>
    <xf numFmtId="0" fontId="3" fillId="0" borderId="1" xfId="0" applyFont="1" applyBorder="1"/>
    <xf numFmtId="0" fontId="3" fillId="0" borderId="2" xfId="0" applyFont="1" applyBorder="1"/>
    <xf numFmtId="10" fontId="0" fillId="0" borderId="1" xfId="0" applyNumberFormat="1" applyBorder="1"/>
    <xf numFmtId="2" fontId="0" fillId="0" borderId="1" xfId="0" applyNumberFormat="1" applyBorder="1"/>
    <xf numFmtId="10" fontId="0" fillId="0" borderId="2" xfId="0" applyNumberFormat="1" applyBorder="1"/>
    <xf numFmtId="2" fontId="0" fillId="0" borderId="2" xfId="0" applyNumberFormat="1" applyBorder="1"/>
    <xf numFmtId="0" fontId="0" fillId="0" borderId="3" xfId="0" applyBorder="1"/>
    <xf numFmtId="0" fontId="0" fillId="0" borderId="4" xfId="0" applyBorder="1"/>
    <xf numFmtId="9" fontId="0" fillId="0" borderId="0" xfId="1" applyFont="1" applyBorder="1"/>
    <xf numFmtId="0" fontId="3" fillId="0" borderId="0" xfId="0" applyFont="1"/>
    <xf numFmtId="10" fontId="0" fillId="0" borderId="0" xfId="1" applyNumberFormat="1" applyFont="1"/>
    <xf numFmtId="10" fontId="0" fillId="2" borderId="0" xfId="1" applyNumberFormat="1" applyFont="1" applyFill="1"/>
    <xf numFmtId="0" fontId="3" fillId="0" borderId="4" xfId="0" applyFont="1" applyBorder="1"/>
    <xf numFmtId="9" fontId="7" fillId="0" borderId="3" xfId="1" applyFont="1" applyBorder="1"/>
    <xf numFmtId="9" fontId="0" fillId="0" borderId="0" xfId="0" applyNumberFormat="1"/>
    <xf numFmtId="10" fontId="0" fillId="2" borderId="4" xfId="0" applyNumberFormat="1" applyFill="1" applyBorder="1"/>
    <xf numFmtId="2" fontId="0" fillId="2" borderId="4" xfId="0" applyNumberFormat="1" applyFill="1" applyBorder="1"/>
    <xf numFmtId="10" fontId="0" fillId="2" borderId="0" xfId="0" applyNumberFormat="1" applyFill="1"/>
    <xf numFmtId="0" fontId="3" fillId="0" borderId="0" xfId="0" applyFont="1" applyAlignment="1">
      <alignment horizontal="right"/>
    </xf>
    <xf numFmtId="164" fontId="7" fillId="0" borderId="0" xfId="0" applyNumberFormat="1" applyFont="1"/>
    <xf numFmtId="164" fontId="7" fillId="0" borderId="3" xfId="0" applyNumberFormat="1" applyFont="1" applyBorder="1"/>
    <xf numFmtId="2" fontId="7" fillId="0" borderId="0" xfId="0" applyNumberFormat="1" applyFont="1"/>
    <xf numFmtId="0" fontId="0" fillId="0" borderId="0" xfId="0" applyAlignment="1">
      <alignment wrapText="1"/>
    </xf>
    <xf numFmtId="0" fontId="8" fillId="0" borderId="0" xfId="0" applyFont="1" applyAlignment="1">
      <alignment vertical="center"/>
    </xf>
    <xf numFmtId="0" fontId="9" fillId="0" borderId="0" xfId="0" applyFont="1"/>
    <xf numFmtId="4" fontId="0" fillId="0" borderId="0" xfId="0" applyNumberFormat="1"/>
    <xf numFmtId="0" fontId="3" fillId="0" borderId="2" xfId="0" applyFont="1" applyBorder="1" applyAlignment="1">
      <alignment horizontal="center"/>
    </xf>
    <xf numFmtId="0" fontId="0" fillId="3" borderId="0" xfId="0" applyFill="1" applyAlignment="1">
      <alignment wrapText="1"/>
    </xf>
    <xf numFmtId="10" fontId="11" fillId="0" borderId="0" xfId="0" applyNumberFormat="1" applyFont="1"/>
    <xf numFmtId="0" fontId="11" fillId="0" borderId="0" xfId="0" applyFont="1" applyAlignment="1">
      <alignment horizontal="right" wrapText="1"/>
    </xf>
    <xf numFmtId="10" fontId="11" fillId="0" borderId="0" xfId="0" applyNumberFormat="1" applyFont="1" applyAlignment="1">
      <alignment horizontal="right" wrapText="1"/>
    </xf>
    <xf numFmtId="2" fontId="0" fillId="3" borderId="0" xfId="0" applyNumberFormat="1" applyFill="1" applyAlignment="1">
      <alignment wrapText="1"/>
    </xf>
    <xf numFmtId="2" fontId="12" fillId="0" borderId="0" xfId="0" applyNumberFormat="1" applyFont="1"/>
    <xf numFmtId="2" fontId="7" fillId="0" borderId="1" xfId="0" applyNumberFormat="1" applyFont="1" applyBorder="1"/>
    <xf numFmtId="2" fontId="7" fillId="0" borderId="2" xfId="0" applyNumberFormat="1" applyFont="1" applyBorder="1"/>
    <xf numFmtId="0" fontId="0" fillId="0" borderId="0" xfId="0" applyAlignment="1">
      <alignment horizontal="left"/>
    </xf>
    <xf numFmtId="10" fontId="0" fillId="0" borderId="0" xfId="1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10" fillId="4" borderId="0" xfId="0" applyFont="1" applyFill="1" applyAlignment="1">
      <alignment vertical="center"/>
    </xf>
    <xf numFmtId="0" fontId="0" fillId="4" borderId="0" xfId="0" applyFill="1" applyAlignment="1">
      <alignment wrapText="1"/>
    </xf>
    <xf numFmtId="0" fontId="0" fillId="0" borderId="0" xfId="0" applyAlignment="1">
      <alignment vertical="center"/>
    </xf>
    <xf numFmtId="0" fontId="3" fillId="5" borderId="0" xfId="0" applyFont="1" applyFill="1" applyAlignment="1">
      <alignment vertical="center"/>
    </xf>
    <xf numFmtId="10" fontId="0" fillId="0" borderId="0" xfId="0" applyNumberFormat="1" applyAlignment="1">
      <alignment horizontal="right"/>
    </xf>
    <xf numFmtId="10" fontId="12" fillId="0" borderId="0" xfId="1" applyNumberFormat="1" applyFont="1"/>
    <xf numFmtId="9" fontId="12" fillId="0" borderId="4" xfId="1" applyFont="1" applyBorder="1"/>
    <xf numFmtId="165" fontId="0" fillId="0" borderId="0" xfId="0" applyNumberFormat="1"/>
    <xf numFmtId="10" fontId="3" fillId="2" borderId="4" xfId="1" applyNumberFormat="1" applyFont="1" applyFill="1" applyBorder="1"/>
    <xf numFmtId="0" fontId="10" fillId="0" borderId="0" xfId="0" applyFont="1" applyAlignment="1">
      <alignment wrapText="1"/>
    </xf>
    <xf numFmtId="0" fontId="3" fillId="0" borderId="7" xfId="0" applyFont="1" applyBorder="1"/>
    <xf numFmtId="0" fontId="0" fillId="0" borderId="10" xfId="0" applyBorder="1" applyAlignment="1">
      <alignment wrapText="1"/>
    </xf>
    <xf numFmtId="0" fontId="3" fillId="0" borderId="0" xfId="0" applyFont="1" applyAlignment="1">
      <alignment wrapText="1"/>
    </xf>
    <xf numFmtId="0" fontId="0" fillId="0" borderId="11" xfId="0" applyBorder="1" applyAlignment="1">
      <alignment wrapText="1"/>
    </xf>
    <xf numFmtId="166" fontId="10" fillId="0" borderId="0" xfId="0" applyNumberFormat="1" applyFont="1" applyAlignment="1">
      <alignment wrapText="1"/>
    </xf>
    <xf numFmtId="166" fontId="0" fillId="0" borderId="3" xfId="0" applyNumberFormat="1" applyBorder="1"/>
    <xf numFmtId="166" fontId="0" fillId="0" borderId="9" xfId="0" applyNumberFormat="1" applyBorder="1" applyAlignment="1">
      <alignment horizontal="right" wrapText="1"/>
    </xf>
    <xf numFmtId="166" fontId="0" fillId="0" borderId="10" xfId="0" applyNumberFormat="1" applyBorder="1" applyAlignment="1">
      <alignment wrapText="1"/>
    </xf>
    <xf numFmtId="166" fontId="0" fillId="0" borderId="10" xfId="0" applyNumberFormat="1" applyBorder="1" applyAlignment="1">
      <alignment horizontal="right" wrapText="1"/>
    </xf>
    <xf numFmtId="166" fontId="0" fillId="0" borderId="0" xfId="0" applyNumberFormat="1"/>
    <xf numFmtId="166" fontId="0" fillId="0" borderId="7" xfId="0" applyNumberFormat="1" applyBorder="1"/>
    <xf numFmtId="166" fontId="0" fillId="0" borderId="2" xfId="0" applyNumberFormat="1" applyBorder="1"/>
    <xf numFmtId="166" fontId="0" fillId="0" borderId="8" xfId="0" applyNumberFormat="1" applyBorder="1"/>
    <xf numFmtId="0" fontId="13" fillId="0" borderId="0" xfId="0" applyFont="1"/>
    <xf numFmtId="0" fontId="4" fillId="0" borderId="0" xfId="0" applyFont="1"/>
    <xf numFmtId="0" fontId="3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3" fillId="0" borderId="11" xfId="0" applyFont="1" applyBorder="1" applyAlignment="1">
      <alignment vertical="center"/>
    </xf>
    <xf numFmtId="166" fontId="0" fillId="0" borderId="0" xfId="0" applyNumberFormat="1" applyAlignment="1">
      <alignment horizontal="right" wrapText="1"/>
    </xf>
    <xf numFmtId="43" fontId="16" fillId="0" borderId="0" xfId="2" applyFont="1" applyBorder="1"/>
    <xf numFmtId="43" fontId="0" fillId="0" borderId="0" xfId="2" applyFont="1" applyBorder="1"/>
    <xf numFmtId="0" fontId="15" fillId="0" borderId="0" xfId="5"/>
    <xf numFmtId="167" fontId="18" fillId="7" borderId="0" xfId="2" applyNumberFormat="1" applyFont="1" applyFill="1" applyBorder="1"/>
    <xf numFmtId="167" fontId="18" fillId="7" borderId="0" xfId="5" applyNumberFormat="1" applyFont="1" applyFill="1" applyAlignment="1">
      <alignment horizontal="center"/>
    </xf>
    <xf numFmtId="167" fontId="19" fillId="0" borderId="0" xfId="2" applyNumberFormat="1" applyFont="1" applyFill="1" applyBorder="1"/>
    <xf numFmtId="43" fontId="15" fillId="0" borderId="0" xfId="2" applyFont="1" applyBorder="1"/>
    <xf numFmtId="168" fontId="0" fillId="0" borderId="0" xfId="2" applyNumberFormat="1" applyFont="1" applyBorder="1"/>
    <xf numFmtId="3" fontId="15" fillId="0" borderId="0" xfId="5" applyNumberFormat="1"/>
    <xf numFmtId="0" fontId="18" fillId="10" borderId="0" xfId="5" applyFont="1" applyFill="1"/>
    <xf numFmtId="17" fontId="18" fillId="10" borderId="0" xfId="5" applyNumberFormat="1" applyFont="1" applyFill="1"/>
    <xf numFmtId="0" fontId="16" fillId="11" borderId="0" xfId="5" applyFont="1" applyFill="1"/>
    <xf numFmtId="0" fontId="15" fillId="11" borderId="0" xfId="5" applyFill="1"/>
    <xf numFmtId="0" fontId="16" fillId="0" borderId="0" xfId="5" applyFont="1"/>
    <xf numFmtId="169" fontId="0" fillId="0" borderId="0" xfId="2" applyNumberFormat="1" applyFont="1"/>
    <xf numFmtId="0" fontId="20" fillId="0" borderId="0" xfId="5" applyFont="1"/>
    <xf numFmtId="0" fontId="20" fillId="0" borderId="0" xfId="5" applyFont="1" applyAlignment="1">
      <alignment horizontal="right"/>
    </xf>
    <xf numFmtId="10" fontId="20" fillId="0" borderId="0" xfId="6" applyNumberFormat="1" applyFont="1"/>
    <xf numFmtId="170" fontId="15" fillId="0" borderId="0" xfId="5" applyNumberFormat="1"/>
    <xf numFmtId="10" fontId="20" fillId="0" borderId="0" xfId="6" applyNumberFormat="1" applyFont="1" applyAlignment="1">
      <alignment horizontal="right"/>
    </xf>
    <xf numFmtId="0" fontId="15" fillId="0" borderId="7" xfId="5" applyBorder="1"/>
    <xf numFmtId="0" fontId="16" fillId="0" borderId="7" xfId="5" applyFont="1" applyBorder="1"/>
    <xf numFmtId="170" fontId="15" fillId="0" borderId="7" xfId="5" applyNumberFormat="1" applyBorder="1"/>
    <xf numFmtId="2" fontId="15" fillId="0" borderId="0" xfId="5" applyNumberFormat="1"/>
    <xf numFmtId="10" fontId="0" fillId="0" borderId="0" xfId="6" applyNumberFormat="1" applyFont="1"/>
    <xf numFmtId="0" fontId="21" fillId="0" borderId="0" xfId="5" applyFont="1"/>
    <xf numFmtId="169" fontId="15" fillId="0" borderId="0" xfId="5" applyNumberFormat="1"/>
    <xf numFmtId="0" fontId="15" fillId="0" borderId="14" xfId="5" applyBorder="1"/>
    <xf numFmtId="10" fontId="0" fillId="0" borderId="0" xfId="6" applyNumberFormat="1" applyFont="1" applyFill="1" applyBorder="1"/>
    <xf numFmtId="0" fontId="15" fillId="0" borderId="0" xfId="5" applyAlignment="1">
      <alignment vertical="center"/>
    </xf>
    <xf numFmtId="0" fontId="15" fillId="0" borderId="14" xfId="5" applyBorder="1" applyAlignment="1">
      <alignment wrapText="1"/>
    </xf>
    <xf numFmtId="1" fontId="15" fillId="0" borderId="0" xfId="5" applyNumberFormat="1"/>
    <xf numFmtId="171" fontId="15" fillId="0" borderId="14" xfId="5" applyNumberFormat="1" applyBorder="1"/>
    <xf numFmtId="0" fontId="15" fillId="0" borderId="14" xfId="5" applyBorder="1" applyAlignment="1">
      <alignment vertical="center"/>
    </xf>
    <xf numFmtId="171" fontId="15" fillId="0" borderId="0" xfId="5" applyNumberFormat="1"/>
    <xf numFmtId="10" fontId="15" fillId="0" borderId="0" xfId="5" applyNumberFormat="1"/>
    <xf numFmtId="0" fontId="18" fillId="10" borderId="0" xfId="5" applyFont="1" applyFill="1" applyAlignment="1">
      <alignment horizontal="center"/>
    </xf>
    <xf numFmtId="0" fontId="15" fillId="0" borderId="0" xfId="5" applyAlignment="1">
      <alignment horizontal="left"/>
    </xf>
    <xf numFmtId="172" fontId="15" fillId="0" borderId="0" xfId="5" applyNumberFormat="1"/>
    <xf numFmtId="0" fontId="15" fillId="2" borderId="0" xfId="5" applyFill="1" applyAlignment="1">
      <alignment horizontal="left"/>
    </xf>
    <xf numFmtId="173" fontId="15" fillId="2" borderId="0" xfId="5" applyNumberFormat="1" applyFill="1"/>
    <xf numFmtId="10" fontId="0" fillId="2" borderId="0" xfId="6" applyNumberFormat="1" applyFont="1" applyFill="1"/>
    <xf numFmtId="2" fontId="15" fillId="2" borderId="0" xfId="5" applyNumberFormat="1" applyFill="1"/>
    <xf numFmtId="10" fontId="0" fillId="0" borderId="10" xfId="1" applyNumberFormat="1" applyFont="1" applyBorder="1" applyAlignment="1">
      <alignment horizontal="right" wrapText="1"/>
    </xf>
    <xf numFmtId="10" fontId="23" fillId="0" borderId="9" xfId="0" applyNumberFormat="1" applyFont="1" applyBorder="1" applyAlignment="1">
      <alignment horizontal="right" wrapText="1"/>
    </xf>
    <xf numFmtId="0" fontId="3" fillId="3" borderId="0" xfId="0" applyFont="1" applyFill="1" applyAlignment="1">
      <alignment wrapText="1"/>
    </xf>
    <xf numFmtId="10" fontId="0" fillId="0" borderId="0" xfId="1" applyNumberFormat="1" applyFont="1" applyBorder="1" applyAlignment="1">
      <alignment horizontal="right" wrapText="1"/>
    </xf>
    <xf numFmtId="4" fontId="0" fillId="0" borderId="0" xfId="0" applyNumberFormat="1" applyAlignment="1">
      <alignment horizontal="right" wrapText="1"/>
    </xf>
    <xf numFmtId="10" fontId="0" fillId="0" borderId="0" xfId="0" applyNumberFormat="1" applyAlignment="1">
      <alignment horizontal="right" wrapText="1"/>
    </xf>
    <xf numFmtId="0" fontId="0" fillId="0" borderId="0" xfId="0" applyAlignment="1">
      <alignment horizontal="right" wrapText="1"/>
    </xf>
    <xf numFmtId="0" fontId="0" fillId="3" borderId="0" xfId="0" applyFill="1" applyAlignment="1">
      <alignment vertical="center"/>
    </xf>
    <xf numFmtId="10" fontId="0" fillId="3" borderId="0" xfId="0" applyNumberFormat="1" applyFill="1" applyAlignment="1">
      <alignment horizontal="right" wrapText="1"/>
    </xf>
    <xf numFmtId="0" fontId="3" fillId="0" borderId="11" xfId="0" applyFont="1" applyBorder="1" applyAlignment="1">
      <alignment horizontal="right" wrapText="1"/>
    </xf>
    <xf numFmtId="4" fontId="3" fillId="0" borderId="0" xfId="0" applyNumberFormat="1" applyFont="1" applyAlignment="1">
      <alignment horizontal="right" wrapText="1"/>
    </xf>
    <xf numFmtId="43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43" fontId="0" fillId="0" borderId="11" xfId="0" applyNumberFormat="1" applyBorder="1" applyAlignment="1">
      <alignment wrapText="1"/>
    </xf>
    <xf numFmtId="174" fontId="0" fillId="0" borderId="0" xfId="0" applyNumberFormat="1" applyAlignment="1">
      <alignment wrapText="1"/>
    </xf>
    <xf numFmtId="2" fontId="0" fillId="0" borderId="0" xfId="0" applyNumberFormat="1" applyAlignment="1">
      <alignment horizontal="right" wrapText="1"/>
    </xf>
    <xf numFmtId="43" fontId="0" fillId="0" borderId="0" xfId="0" applyNumberFormat="1" applyAlignment="1">
      <alignment horizontal="right" wrapText="1"/>
    </xf>
    <xf numFmtId="0" fontId="4" fillId="0" borderId="0" xfId="0" applyFont="1" applyAlignment="1">
      <alignment wrapText="1"/>
    </xf>
    <xf numFmtId="0" fontId="24" fillId="0" borderId="11" xfId="0" applyFont="1" applyBorder="1" applyAlignment="1">
      <alignment vertical="center"/>
    </xf>
    <xf numFmtId="0" fontId="0" fillId="3" borderId="10" xfId="0" applyFill="1" applyBorder="1" applyAlignment="1">
      <alignment wrapText="1"/>
    </xf>
    <xf numFmtId="0" fontId="3" fillId="3" borderId="10" xfId="0" applyFont="1" applyFill="1" applyBorder="1" applyAlignment="1">
      <alignment wrapText="1"/>
    </xf>
    <xf numFmtId="0" fontId="3" fillId="3" borderId="11" xfId="0" applyFont="1" applyFill="1" applyBorder="1" applyAlignment="1">
      <alignment vertical="center"/>
    </xf>
    <xf numFmtId="0" fontId="0" fillId="3" borderId="11" xfId="0" applyFill="1" applyBorder="1" applyAlignment="1">
      <alignment wrapText="1"/>
    </xf>
    <xf numFmtId="0" fontId="4" fillId="0" borderId="0" xfId="0" applyFont="1" applyAlignment="1">
      <alignment vertical="center"/>
    </xf>
    <xf numFmtId="0" fontId="0" fillId="0" borderId="10" xfId="0" applyBorder="1" applyAlignment="1">
      <alignment horizontal="left" wrapText="1"/>
    </xf>
    <xf numFmtId="175" fontId="0" fillId="0" borderId="10" xfId="0" applyNumberFormat="1" applyBorder="1" applyAlignment="1">
      <alignment horizontal="right" wrapText="1"/>
    </xf>
    <xf numFmtId="176" fontId="0" fillId="0" borderId="10" xfId="0" applyNumberFormat="1" applyBorder="1" applyAlignment="1">
      <alignment horizontal="right" wrapText="1"/>
    </xf>
    <xf numFmtId="0" fontId="0" fillId="12" borderId="10" xfId="0" applyFill="1" applyBorder="1" applyAlignment="1">
      <alignment horizontal="left" wrapText="1"/>
    </xf>
    <xf numFmtId="175" fontId="0" fillId="12" borderId="10" xfId="0" applyNumberFormat="1" applyFill="1" applyBorder="1" applyAlignment="1">
      <alignment horizontal="right" wrapText="1"/>
    </xf>
    <xf numFmtId="176" fontId="0" fillId="12" borderId="10" xfId="0" applyNumberFormat="1" applyFill="1" applyBorder="1" applyAlignment="1">
      <alignment horizontal="right" wrapText="1"/>
    </xf>
    <xf numFmtId="176" fontId="0" fillId="3" borderId="10" xfId="0" applyNumberFormat="1" applyFill="1" applyBorder="1" applyAlignment="1">
      <alignment horizontal="right" wrapText="1"/>
    </xf>
    <xf numFmtId="176" fontId="3" fillId="3" borderId="10" xfId="0" applyNumberFormat="1" applyFont="1" applyFill="1" applyBorder="1" applyAlignment="1">
      <alignment horizontal="right" wrapText="1"/>
    </xf>
    <xf numFmtId="2" fontId="3" fillId="3" borderId="11" xfId="0" applyNumberFormat="1" applyFont="1" applyFill="1" applyBorder="1" applyAlignment="1">
      <alignment horizontal="right" wrapText="1"/>
    </xf>
    <xf numFmtId="177" fontId="0" fillId="0" borderId="0" xfId="0" applyNumberFormat="1" applyAlignment="1">
      <alignment horizontal="right" wrapText="1"/>
    </xf>
    <xf numFmtId="9" fontId="0" fillId="0" borderId="0" xfId="0" applyNumberFormat="1" applyAlignment="1">
      <alignment wrapText="1"/>
    </xf>
    <xf numFmtId="4" fontId="25" fillId="0" borderId="0" xfId="0" applyNumberFormat="1" applyFont="1" applyAlignment="1">
      <alignment wrapText="1"/>
    </xf>
    <xf numFmtId="10" fontId="3" fillId="0" borderId="0" xfId="1" applyNumberFormat="1" applyFont="1" applyAlignment="1">
      <alignment wrapText="1"/>
    </xf>
    <xf numFmtId="178" fontId="3" fillId="0" borderId="0" xfId="0" applyNumberFormat="1" applyFont="1"/>
    <xf numFmtId="179" fontId="0" fillId="0" borderId="0" xfId="0" applyNumberFormat="1" applyAlignment="1">
      <alignment wrapText="1"/>
    </xf>
    <xf numFmtId="179" fontId="0" fillId="0" borderId="0" xfId="0" applyNumberFormat="1"/>
    <xf numFmtId="178" fontId="3" fillId="0" borderId="0" xfId="0" applyNumberFormat="1" applyFont="1" applyAlignment="1">
      <alignment wrapText="1"/>
    </xf>
    <xf numFmtId="10" fontId="3" fillId="0" borderId="0" xfId="1" applyNumberFormat="1" applyFont="1"/>
    <xf numFmtId="17" fontId="26" fillId="8" borderId="12" xfId="0" applyNumberFormat="1" applyFont="1" applyFill="1" applyBorder="1" applyAlignment="1">
      <alignment horizontal="right" vertical="center" wrapText="1"/>
    </xf>
    <xf numFmtId="0" fontId="27" fillId="9" borderId="13" xfId="0" applyFont="1" applyFill="1" applyBorder="1" applyAlignment="1">
      <alignment horizontal="left" vertical="center" indent="2"/>
    </xf>
    <xf numFmtId="3" fontId="0" fillId="0" borderId="0" xfId="0" applyNumberFormat="1"/>
    <xf numFmtId="3" fontId="27" fillId="9" borderId="13" xfId="0" applyNumberFormat="1" applyFont="1" applyFill="1" applyBorder="1" applyAlignment="1">
      <alignment horizontal="right" vertical="center" wrapText="1"/>
    </xf>
    <xf numFmtId="0" fontId="27" fillId="9" borderId="13" xfId="0" applyFont="1" applyFill="1" applyBorder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9" borderId="0" xfId="0" applyFill="1" applyAlignment="1">
      <alignment horizontal="right" vertical="center" wrapText="1"/>
    </xf>
    <xf numFmtId="3" fontId="0" fillId="9" borderId="0" xfId="0" applyNumberFormat="1" applyFill="1" applyAlignment="1">
      <alignment horizontal="right" vertical="center" wrapText="1"/>
    </xf>
    <xf numFmtId="0" fontId="27" fillId="9" borderId="13" xfId="0" applyFont="1" applyFill="1" applyBorder="1" applyAlignment="1">
      <alignment horizontal="right" vertical="center" wrapText="1"/>
    </xf>
    <xf numFmtId="0" fontId="27" fillId="8" borderId="13" xfId="0" applyFont="1" applyFill="1" applyBorder="1" applyAlignment="1">
      <alignment horizontal="left" vertical="center" indent="2"/>
    </xf>
    <xf numFmtId="0" fontId="27" fillId="8" borderId="13" xfId="0" applyFont="1" applyFill="1" applyBorder="1" applyAlignment="1">
      <alignment horizontal="right" vertical="center" wrapText="1"/>
    </xf>
    <xf numFmtId="3" fontId="27" fillId="8" borderId="13" xfId="0" applyNumberFormat="1" applyFont="1" applyFill="1" applyBorder="1" applyAlignment="1">
      <alignment horizontal="right" vertical="center" wrapText="1"/>
    </xf>
    <xf numFmtId="0" fontId="0" fillId="8" borderId="0" xfId="0" applyFill="1" applyAlignment="1">
      <alignment horizontal="left" vertical="center"/>
    </xf>
    <xf numFmtId="0" fontId="0" fillId="8" borderId="0" xfId="0" applyFill="1" applyAlignment="1">
      <alignment horizontal="right" vertical="center" wrapText="1"/>
    </xf>
    <xf numFmtId="3" fontId="0" fillId="8" borderId="0" xfId="0" applyNumberFormat="1" applyFill="1" applyAlignment="1">
      <alignment horizontal="right" vertical="center" wrapText="1"/>
    </xf>
    <xf numFmtId="0" fontId="0" fillId="13" borderId="0" xfId="0" applyFill="1" applyAlignment="1">
      <alignment horizontal="left" vertical="center"/>
    </xf>
    <xf numFmtId="9" fontId="0" fillId="0" borderId="0" xfId="6" applyFont="1" applyBorder="1"/>
    <xf numFmtId="0" fontId="16" fillId="0" borderId="8" xfId="5" applyFont="1" applyBorder="1"/>
    <xf numFmtId="170" fontId="16" fillId="0" borderId="8" xfId="5" applyNumberFormat="1" applyFont="1" applyBorder="1"/>
    <xf numFmtId="169" fontId="16" fillId="0" borderId="8" xfId="5" applyNumberFormat="1" applyFont="1" applyBorder="1"/>
    <xf numFmtId="179" fontId="15" fillId="0" borderId="0" xfId="5" applyNumberFormat="1"/>
    <xf numFmtId="179" fontId="15" fillId="2" borderId="0" xfId="5" applyNumberFormat="1" applyFill="1"/>
    <xf numFmtId="180" fontId="7" fillId="0" borderId="0" xfId="0" applyNumberFormat="1" applyFont="1"/>
    <xf numFmtId="181" fontId="0" fillId="0" borderId="0" xfId="0" applyNumberFormat="1"/>
    <xf numFmtId="0" fontId="0" fillId="0" borderId="5" xfId="0" applyBorder="1"/>
    <xf numFmtId="0" fontId="4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Continuous"/>
    </xf>
    <xf numFmtId="166" fontId="0" fillId="0" borderId="3" xfId="0" applyNumberFormat="1" applyBorder="1" applyAlignment="1">
      <alignment horizontal="right" wrapText="1"/>
    </xf>
    <xf numFmtId="43" fontId="14" fillId="0" borderId="0" xfId="3" applyNumberFormat="1" applyBorder="1" applyAlignment="1" applyProtection="1">
      <alignment horizontal="center"/>
    </xf>
    <xf numFmtId="43" fontId="18" fillId="6" borderId="0" xfId="4" applyNumberFormat="1" applyFont="1" applyBorder="1" applyAlignment="1">
      <alignment horizontal="center"/>
    </xf>
    <xf numFmtId="0" fontId="18" fillId="10" borderId="0" xfId="5" applyFont="1" applyFill="1" applyAlignment="1">
      <alignment horizontal="center" vertical="center"/>
    </xf>
    <xf numFmtId="0" fontId="16" fillId="0" borderId="0" xfId="5" applyFont="1" applyAlignment="1">
      <alignment horizontal="center"/>
    </xf>
    <xf numFmtId="0" fontId="0" fillId="0" borderId="16" xfId="0" applyBorder="1"/>
    <xf numFmtId="0" fontId="3" fillId="0" borderId="16" xfId="0" applyFont="1" applyBorder="1"/>
    <xf numFmtId="43" fontId="0" fillId="0" borderId="16" xfId="7" applyFont="1" applyBorder="1"/>
    <xf numFmtId="2" fontId="0" fillId="0" borderId="16" xfId="0" applyNumberFormat="1" applyBorder="1"/>
    <xf numFmtId="0" fontId="3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4" fontId="0" fillId="0" borderId="16" xfId="0" applyNumberFormat="1" applyBorder="1"/>
    <xf numFmtId="10" fontId="0" fillId="0" borderId="16" xfId="1" applyNumberFormat="1" applyFont="1" applyBorder="1"/>
    <xf numFmtId="2" fontId="0" fillId="0" borderId="16" xfId="0" applyNumberFormat="1" applyBorder="1" applyAlignment="1">
      <alignment horizontal="right"/>
    </xf>
    <xf numFmtId="0" fontId="22" fillId="10" borderId="0" xfId="5" applyFont="1" applyFill="1" applyAlignment="1">
      <alignment wrapText="1"/>
    </xf>
    <xf numFmtId="0" fontId="22" fillId="10" borderId="0" xfId="5" applyFont="1" applyFill="1" applyAlignment="1">
      <alignment horizontal="right" wrapText="1"/>
    </xf>
    <xf numFmtId="0" fontId="2" fillId="10" borderId="0" xfId="0" applyFont="1" applyFill="1" applyAlignment="1">
      <alignment horizontal="center"/>
    </xf>
    <xf numFmtId="0" fontId="22" fillId="10" borderId="0" xfId="5" applyFont="1" applyFill="1" applyAlignment="1">
      <alignment horizontal="center" wrapText="1"/>
    </xf>
    <xf numFmtId="0" fontId="0" fillId="10" borderId="0" xfId="0" applyFill="1" applyAlignment="1">
      <alignment wrapText="1"/>
    </xf>
    <xf numFmtId="0" fontId="10" fillId="10" borderId="15" xfId="0" applyFont="1" applyFill="1" applyBorder="1" applyAlignment="1">
      <alignment horizontal="center" wrapText="1"/>
    </xf>
    <xf numFmtId="0" fontId="10" fillId="10" borderId="0" xfId="0" applyFont="1" applyFill="1" applyAlignment="1">
      <alignment wrapText="1"/>
    </xf>
    <xf numFmtId="0" fontId="10" fillId="10" borderId="0" xfId="0" applyFont="1" applyFill="1" applyAlignment="1">
      <alignment horizontal="right" wrapText="1"/>
    </xf>
    <xf numFmtId="0" fontId="10" fillId="10" borderId="0" xfId="0" applyFont="1" applyFill="1" applyAlignment="1">
      <alignment horizontal="right"/>
    </xf>
    <xf numFmtId="0" fontId="10" fillId="10" borderId="11" xfId="0" applyFont="1" applyFill="1" applyBorder="1" applyAlignment="1">
      <alignment vertical="center"/>
    </xf>
    <xf numFmtId="0" fontId="10" fillId="10" borderId="0" xfId="0" applyFont="1" applyFill="1" applyAlignment="1">
      <alignment horizontal="center" wrapText="1"/>
    </xf>
    <xf numFmtId="17" fontId="10" fillId="10" borderId="0" xfId="0" applyNumberFormat="1" applyFont="1" applyFill="1" applyAlignment="1">
      <alignment wrapText="1"/>
    </xf>
    <xf numFmtId="0" fontId="2" fillId="10" borderId="0" xfId="0" applyFont="1" applyFill="1" applyAlignment="1">
      <alignment wrapText="1"/>
    </xf>
    <xf numFmtId="17" fontId="2" fillId="10" borderId="0" xfId="0" applyNumberFormat="1" applyFont="1" applyFill="1" applyAlignment="1">
      <alignment wrapText="1"/>
    </xf>
    <xf numFmtId="0" fontId="10" fillId="10" borderId="0" xfId="0" applyFont="1" applyFill="1" applyAlignment="1">
      <alignment vertical="center"/>
    </xf>
    <xf numFmtId="0" fontId="10" fillId="10" borderId="0" xfId="0" applyFont="1" applyFill="1" applyAlignment="1">
      <alignment vertical="center"/>
    </xf>
    <xf numFmtId="17" fontId="10" fillId="10" borderId="0" xfId="0" applyNumberFormat="1" applyFont="1" applyFill="1" applyAlignment="1">
      <alignment horizontal="right" wrapText="1"/>
    </xf>
  </cellXfs>
  <cellStyles count="8">
    <cellStyle name="Accent6 2" xfId="4" xr:uid="{2C03C612-A378-44F0-A81F-54440DF4448C}"/>
    <cellStyle name="Comma" xfId="7" builtinId="3"/>
    <cellStyle name="Comma 2" xfId="2" xr:uid="{60879A08-2F9A-4A09-8F47-88815FBA6AE6}"/>
    <cellStyle name="Hyperlink 2" xfId="3" xr:uid="{733CC1B7-E7BF-4E4F-B6F2-AA251BE884F0}"/>
    <cellStyle name="Normal" xfId="0" builtinId="0"/>
    <cellStyle name="Normal 2" xfId="5" xr:uid="{371DC05A-5DFA-4471-B83D-71E765A6D3D6}"/>
    <cellStyle name="Percent" xfId="1" builtinId="5"/>
    <cellStyle name="Percent 2" xfId="6" xr:uid="{8B1B8B4E-CA9F-4F29-A6DC-400046C97A30}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mruColors>
      <color rgb="FF015295"/>
      <color rgb="FF005EB8"/>
      <color rgb="FF333399"/>
      <color rgb="FF1E4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sh\Downloads\Avenue%20SuperMarkets.xlsx" TargetMode="External"/><Relationship Id="rId1" Type="http://schemas.openxmlformats.org/officeDocument/2006/relationships/externalLinkPath" Target="Avenue%20SuperMark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fit &amp; Loss"/>
      <sheetName val="Quarters"/>
      <sheetName val="Balance Sheet"/>
      <sheetName val="Cash Flow"/>
      <sheetName val="Financials&gt;"/>
      <sheetName val="Forecasting"/>
      <sheetName val="Cash Flow Data"/>
      <sheetName val="Data"/>
      <sheetName val="HistoricalsFS"/>
      <sheetName val="Data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B1" t="str">
            <v>AVENUE SUPERMARTS LTD</v>
          </cell>
          <cell r="E1" t="str">
            <v/>
          </cell>
        </row>
        <row r="16">
          <cell r="B16">
            <v>42825</v>
          </cell>
          <cell r="C16">
            <v>43190</v>
          </cell>
          <cell r="D16">
            <v>43555</v>
          </cell>
          <cell r="E16">
            <v>43921</v>
          </cell>
          <cell r="F16">
            <v>44286</v>
          </cell>
          <cell r="G16">
            <v>44651</v>
          </cell>
          <cell r="H16">
            <v>45016</v>
          </cell>
          <cell r="I16">
            <v>45382</v>
          </cell>
          <cell r="J16">
            <v>45747</v>
          </cell>
          <cell r="K16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37638-9325-4DA4-A43D-E7CC38B70EC9}">
  <sheetPr>
    <tabColor rgb="FF005EB8"/>
  </sheetPr>
  <dimension ref="A1"/>
  <sheetViews>
    <sheetView showGridLines="0" topLeftCell="S1"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B79CE-54A6-46CF-9A2C-5FC662C4FCCB}">
  <dimension ref="A2:P106"/>
  <sheetViews>
    <sheetView showGridLines="0" zoomScale="90" zoomScaleNormal="133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2" sqref="B2:L2"/>
    </sheetView>
  </sheetViews>
  <sheetFormatPr defaultRowHeight="14.4" x14ac:dyDescent="0.3"/>
  <cols>
    <col min="1" max="1" width="1.88671875" style="82" customWidth="1"/>
    <col min="2" max="2" width="30.77734375" style="82" customWidth="1"/>
    <col min="3" max="12" width="11.5546875" style="82" bestFit="1" customWidth="1"/>
    <col min="13" max="13" width="8.88671875" style="82"/>
    <col min="14" max="14" width="9.44140625" style="82" bestFit="1" customWidth="1"/>
    <col min="15" max="15" width="8.88671875" style="82"/>
    <col min="16" max="16" width="9.44140625" style="82" bestFit="1" customWidth="1"/>
    <col min="17" max="16384" width="8.88671875" style="82"/>
  </cols>
  <sheetData>
    <row r="2" spans="1:15" x14ac:dyDescent="0.3">
      <c r="B2" s="195" t="str">
        <f>"Historical Financial Statements - "&amp; 'Data Sheet'!B1</f>
        <v>Historical Financial Statements - HINDUSTAN UNILEVER LTD</v>
      </c>
      <c r="C2" s="195"/>
      <c r="D2" s="195"/>
      <c r="E2" s="195"/>
      <c r="F2" s="195"/>
      <c r="G2" s="195"/>
      <c r="H2" s="195"/>
      <c r="I2" s="195"/>
      <c r="J2" s="195"/>
      <c r="K2" s="195"/>
      <c r="L2" s="195"/>
    </row>
    <row r="3" spans="1:15" x14ac:dyDescent="0.3">
      <c r="B3" s="89" t="s">
        <v>226</v>
      </c>
      <c r="C3" s="90">
        <f>'[1]Data Sheet'!B16</f>
        <v>42825</v>
      </c>
      <c r="D3" s="90">
        <f>'[1]Data Sheet'!C16</f>
        <v>43190</v>
      </c>
      <c r="E3" s="90">
        <f>'[1]Data Sheet'!D16</f>
        <v>43555</v>
      </c>
      <c r="F3" s="90">
        <f>'[1]Data Sheet'!E16</f>
        <v>43921</v>
      </c>
      <c r="G3" s="90">
        <f>'[1]Data Sheet'!F16</f>
        <v>44286</v>
      </c>
      <c r="H3" s="90">
        <f>'[1]Data Sheet'!G16</f>
        <v>44651</v>
      </c>
      <c r="I3" s="90">
        <f>'[1]Data Sheet'!H16</f>
        <v>45016</v>
      </c>
      <c r="J3" s="90">
        <f>'[1]Data Sheet'!I16</f>
        <v>45382</v>
      </c>
      <c r="K3" s="90">
        <f>'[1]Data Sheet'!J16</f>
        <v>45747</v>
      </c>
      <c r="L3" s="90">
        <f>'[1]Data Sheet'!K16</f>
        <v>46112</v>
      </c>
    </row>
    <row r="4" spans="1:15" x14ac:dyDescent="0.3">
      <c r="A4" s="82" t="s">
        <v>136</v>
      </c>
      <c r="B4" s="91" t="s">
        <v>227</v>
      </c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5" x14ac:dyDescent="0.3">
      <c r="B5" s="93" t="s">
        <v>163</v>
      </c>
      <c r="C5" s="94">
        <f>IFERROR('Data Sheet'!B17,0)</f>
        <v>33162</v>
      </c>
      <c r="D5" s="94">
        <f>IFERROR('Data Sheet'!C17,0)</f>
        <v>35545</v>
      </c>
      <c r="E5" s="94">
        <f>IFERROR('Data Sheet'!D17,0)</f>
        <v>39310</v>
      </c>
      <c r="F5" s="94">
        <f>IFERROR('Data Sheet'!E17,0)</f>
        <v>39783</v>
      </c>
      <c r="G5" s="94">
        <f>IFERROR('Data Sheet'!F17,0)</f>
        <v>47028</v>
      </c>
      <c r="H5" s="94">
        <f>IFERROR('Data Sheet'!G17,0)</f>
        <v>52446</v>
      </c>
      <c r="I5" s="94">
        <f>IFERROR('Data Sheet'!H17,0)</f>
        <v>60580</v>
      </c>
      <c r="J5" s="94">
        <f>IFERROR('Data Sheet'!I17,0)</f>
        <v>61896</v>
      </c>
      <c r="K5" s="94">
        <f>IFERROR('Data Sheet'!J17,0)</f>
        <v>61328</v>
      </c>
      <c r="L5" s="94">
        <f>IFERROR('Data Sheet'!K17,0)</f>
        <v>64468</v>
      </c>
    </row>
    <row r="6" spans="1:15" x14ac:dyDescent="0.3">
      <c r="B6" s="95" t="s">
        <v>228</v>
      </c>
      <c r="C6" s="96" t="s">
        <v>50</v>
      </c>
      <c r="D6" s="97">
        <f>D5/C5-1</f>
        <v>7.1859357095470644E-2</v>
      </c>
      <c r="E6" s="97">
        <f t="shared" ref="E6:L6" si="0">E5/D5-1</f>
        <v>0.1059220706147137</v>
      </c>
      <c r="F6" s="97">
        <f t="shared" si="0"/>
        <v>1.2032561689137689E-2</v>
      </c>
      <c r="G6" s="97">
        <f t="shared" si="0"/>
        <v>0.18211296282331646</v>
      </c>
      <c r="H6" s="97">
        <f t="shared" si="0"/>
        <v>0.11520796121459553</v>
      </c>
      <c r="I6" s="97">
        <f t="shared" si="0"/>
        <v>0.15509285741524614</v>
      </c>
      <c r="J6" s="97">
        <f t="shared" si="0"/>
        <v>2.1723341036645749E-2</v>
      </c>
      <c r="K6" s="97">
        <f t="shared" si="0"/>
        <v>-9.1766834690448773E-3</v>
      </c>
      <c r="L6" s="97">
        <f t="shared" si="0"/>
        <v>5.1200104356900589E-2</v>
      </c>
      <c r="N6" s="98" t="s">
        <v>16</v>
      </c>
      <c r="O6" s="82" t="s">
        <v>16</v>
      </c>
    </row>
    <row r="8" spans="1:15" x14ac:dyDescent="0.3">
      <c r="B8" s="93" t="s">
        <v>229</v>
      </c>
      <c r="C8" s="94">
        <f>IFERROR(SUM('Data Sheet'!B18,'Data Sheet'!B21:B22)-1*'Data Sheet'!B19,0)</f>
        <v>18380</v>
      </c>
      <c r="D8" s="94">
        <f>IFERROR(SUM('Data Sheet'!C18,'Data Sheet'!C21:C22)-1*'Data Sheet'!C19,0)</f>
        <v>19019</v>
      </c>
      <c r="E8" s="94">
        <f>IFERROR(SUM('Data Sheet'!D18,'Data Sheet'!D21:D22)-1*'Data Sheet'!D19,0)</f>
        <v>20773</v>
      </c>
      <c r="F8" s="94">
        <f>IFERROR(SUM('Data Sheet'!E18,'Data Sheet'!E21:E22)-1*'Data Sheet'!E19,0)</f>
        <v>20315</v>
      </c>
      <c r="G8" s="94">
        <f>IFERROR(SUM('Data Sheet'!F18,'Data Sheet'!F21:F22)-1*'Data Sheet'!F19,0)</f>
        <v>24962</v>
      </c>
      <c r="H8" s="94">
        <f>IFERROR(SUM('Data Sheet'!G18,'Data Sheet'!G21:G22)-1*'Data Sheet'!G19,0)</f>
        <v>28748</v>
      </c>
      <c r="I8" s="94">
        <f>IFERROR(SUM('Data Sheet'!H18,'Data Sheet'!H21:H22)-1*'Data Sheet'!H19,0)</f>
        <v>34997</v>
      </c>
      <c r="J8" s="94">
        <f>IFERROR(SUM('Data Sheet'!I18,'Data Sheet'!I21:I22)-1*'Data Sheet'!I19,0)</f>
        <v>33205</v>
      </c>
      <c r="K8" s="94">
        <f>IFERROR(SUM('Data Sheet'!J18,'Data Sheet'!J21:J22)-1*'Data Sheet'!J19,0)</f>
        <v>33116</v>
      </c>
      <c r="L8" s="94">
        <f>IFERROR(SUM('Data Sheet'!K18,'Data Sheet'!K21:K22)-1*'Data Sheet'!K19,0)</f>
        <v>35208</v>
      </c>
    </row>
    <row r="9" spans="1:15" x14ac:dyDescent="0.3">
      <c r="B9" s="95" t="s">
        <v>230</v>
      </c>
      <c r="C9" s="99">
        <f>C8/C5</f>
        <v>0.55424883903262767</v>
      </c>
      <c r="D9" s="97">
        <f>D8/D5</f>
        <v>0.53506822337881554</v>
      </c>
      <c r="E9" s="97">
        <f t="shared" ref="E9:L9" si="1">E8/E5</f>
        <v>0.52844060035614349</v>
      </c>
      <c r="F9" s="97">
        <f t="shared" si="1"/>
        <v>0.51064525048387499</v>
      </c>
      <c r="G9" s="97">
        <f t="shared" si="1"/>
        <v>0.53079016755975161</v>
      </c>
      <c r="H9" s="97">
        <f t="shared" si="1"/>
        <v>0.54814475841818255</v>
      </c>
      <c r="I9" s="97">
        <f t="shared" si="1"/>
        <v>0.57769891053152855</v>
      </c>
      <c r="J9" s="97">
        <f t="shared" si="1"/>
        <v>0.53646439188315886</v>
      </c>
      <c r="K9" s="97">
        <f t="shared" si="1"/>
        <v>0.53998173754239498</v>
      </c>
      <c r="L9" s="97">
        <f t="shared" si="1"/>
        <v>0.54613141403486998</v>
      </c>
    </row>
    <row r="11" spans="1:15" x14ac:dyDescent="0.3">
      <c r="A11" s="100"/>
      <c r="B11" s="101" t="s">
        <v>231</v>
      </c>
      <c r="C11" s="102">
        <f>C5-C8</f>
        <v>14782</v>
      </c>
      <c r="D11" s="102">
        <f>D5-D8</f>
        <v>16526</v>
      </c>
      <c r="E11" s="102">
        <f>E5-E8</f>
        <v>18537</v>
      </c>
      <c r="F11" s="102">
        <f>F5-F8</f>
        <v>19468</v>
      </c>
      <c r="G11" s="102">
        <f t="shared" ref="G11:L11" si="2">G5-G8</f>
        <v>22066</v>
      </c>
      <c r="H11" s="102">
        <f t="shared" si="2"/>
        <v>23698</v>
      </c>
      <c r="I11" s="102">
        <f t="shared" si="2"/>
        <v>25583</v>
      </c>
      <c r="J11" s="102">
        <f t="shared" si="2"/>
        <v>28691</v>
      </c>
      <c r="K11" s="102">
        <f t="shared" si="2"/>
        <v>28212</v>
      </c>
      <c r="L11" s="102">
        <f t="shared" si="2"/>
        <v>29260</v>
      </c>
    </row>
    <row r="12" spans="1:15" x14ac:dyDescent="0.3">
      <c r="B12" s="95" t="s">
        <v>232</v>
      </c>
      <c r="C12" s="99">
        <f>C11/C5</f>
        <v>0.44575116096737227</v>
      </c>
      <c r="D12" s="97">
        <f t="shared" ref="D12:L12" si="3">D11/D5</f>
        <v>0.4649317766211844</v>
      </c>
      <c r="E12" s="97">
        <f t="shared" si="3"/>
        <v>0.47155939964385651</v>
      </c>
      <c r="F12" s="97">
        <f t="shared" si="3"/>
        <v>0.48935474951612495</v>
      </c>
      <c r="G12" s="97">
        <f t="shared" si="3"/>
        <v>0.46920983244024839</v>
      </c>
      <c r="H12" s="97">
        <f t="shared" si="3"/>
        <v>0.4518552415818175</v>
      </c>
      <c r="I12" s="97">
        <f t="shared" si="3"/>
        <v>0.42230108946847145</v>
      </c>
      <c r="J12" s="97">
        <f t="shared" si="3"/>
        <v>0.46353560811684114</v>
      </c>
      <c r="K12" s="97">
        <f t="shared" si="3"/>
        <v>0.46001826245760502</v>
      </c>
      <c r="L12" s="97">
        <f t="shared" si="3"/>
        <v>0.45386858596512997</v>
      </c>
    </row>
    <row r="14" spans="1:15" x14ac:dyDescent="0.3">
      <c r="B14" s="93" t="s">
        <v>233</v>
      </c>
      <c r="C14" s="98">
        <f>IFERROR(SUM('Data Sheet'!B23:B24),0)</f>
        <v>8159</v>
      </c>
      <c r="D14" s="98">
        <f>IFERROR(SUM('Data Sheet'!C23:C24),0)</f>
        <v>8732</v>
      </c>
      <c r="E14" s="98">
        <f>IFERROR(SUM('Data Sheet'!D23:D24),0)</f>
        <v>9349</v>
      </c>
      <c r="F14" s="98">
        <f>IFERROR(SUM('Data Sheet'!E23:E24),0)</f>
        <v>9308</v>
      </c>
      <c r="G14" s="98">
        <f>IFERROR(SUM('Data Sheet'!F23:F24),0)</f>
        <v>10101</v>
      </c>
      <c r="H14" s="98">
        <f>IFERROR(SUM('Data Sheet'!G23:G24),0)</f>
        <v>10523</v>
      </c>
      <c r="I14" s="98">
        <f>IFERROR(SUM('Data Sheet'!H23:H24),0)</f>
        <v>11052</v>
      </c>
      <c r="J14" s="98">
        <f>IFERROR(SUM('Data Sheet'!I23:I24),0)</f>
        <v>13586</v>
      </c>
      <c r="K14" s="98">
        <f>IFERROR(SUM('Data Sheet'!J23:J24),0)</f>
        <v>13111</v>
      </c>
      <c r="L14" s="98">
        <f>IFERROR(SUM('Data Sheet'!K23:K24),0)</f>
        <v>13795</v>
      </c>
    </row>
    <row r="15" spans="1:15" x14ac:dyDescent="0.3">
      <c r="B15" s="95" t="s">
        <v>234</v>
      </c>
      <c r="C15" s="99">
        <f>C14/C5</f>
        <v>0.24603461793619202</v>
      </c>
      <c r="D15" s="99">
        <f t="shared" ref="D15:L15" si="4">D14/D5</f>
        <v>0.24566043044028696</v>
      </c>
      <c r="E15" s="99">
        <f t="shared" si="4"/>
        <v>0.23782752480284916</v>
      </c>
      <c r="F15" s="99">
        <f t="shared" si="4"/>
        <v>0.23396928336224015</v>
      </c>
      <c r="G15" s="99">
        <f t="shared" si="4"/>
        <v>0.21478693544271499</v>
      </c>
      <c r="H15" s="99">
        <f t="shared" si="4"/>
        <v>0.20064447240971667</v>
      </c>
      <c r="I15" s="99">
        <f t="shared" si="4"/>
        <v>0.18243644767249917</v>
      </c>
      <c r="J15" s="99">
        <f t="shared" si="4"/>
        <v>0.21949722114514669</v>
      </c>
      <c r="K15" s="99">
        <f t="shared" si="4"/>
        <v>0.21378489433863815</v>
      </c>
      <c r="L15" s="99">
        <f t="shared" si="4"/>
        <v>0.21398213066947944</v>
      </c>
      <c r="N15" s="98" t="s">
        <v>16</v>
      </c>
    </row>
    <row r="16" spans="1:15" x14ac:dyDescent="0.3">
      <c r="N16" s="98" t="s">
        <v>16</v>
      </c>
    </row>
    <row r="17" spans="1:16" x14ac:dyDescent="0.3">
      <c r="A17" s="100"/>
      <c r="B17" s="101" t="s">
        <v>235</v>
      </c>
      <c r="C17" s="102">
        <f>C11-C14</f>
        <v>6623</v>
      </c>
      <c r="D17" s="102">
        <f t="shared" ref="D17:L17" si="5">D11-D14</f>
        <v>7794</v>
      </c>
      <c r="E17" s="102">
        <f t="shared" si="5"/>
        <v>9188</v>
      </c>
      <c r="F17" s="102">
        <f t="shared" si="5"/>
        <v>10160</v>
      </c>
      <c r="G17" s="102">
        <f t="shared" si="5"/>
        <v>11965</v>
      </c>
      <c r="H17" s="102">
        <f t="shared" si="5"/>
        <v>13175</v>
      </c>
      <c r="I17" s="102">
        <f t="shared" si="5"/>
        <v>14531</v>
      </c>
      <c r="J17" s="102">
        <f t="shared" si="5"/>
        <v>15105</v>
      </c>
      <c r="K17" s="102">
        <f t="shared" si="5"/>
        <v>15101</v>
      </c>
      <c r="L17" s="102">
        <f t="shared" si="5"/>
        <v>15465</v>
      </c>
    </row>
    <row r="18" spans="1:16" x14ac:dyDescent="0.3">
      <c r="B18" s="95" t="s">
        <v>236</v>
      </c>
      <c r="C18" s="99">
        <f>C17/C5</f>
        <v>0.19971654303118028</v>
      </c>
      <c r="D18" s="99">
        <f t="shared" ref="D18:L18" si="6">D17/D5</f>
        <v>0.21927134618089744</v>
      </c>
      <c r="E18" s="99">
        <f t="shared" si="6"/>
        <v>0.23373187484100738</v>
      </c>
      <c r="F18" s="99">
        <f t="shared" si="6"/>
        <v>0.2553854661538848</v>
      </c>
      <c r="G18" s="99">
        <f t="shared" si="6"/>
        <v>0.2544228969975334</v>
      </c>
      <c r="H18" s="99">
        <f t="shared" si="6"/>
        <v>0.25121076917210083</v>
      </c>
      <c r="I18" s="99">
        <f t="shared" si="6"/>
        <v>0.23986464179597228</v>
      </c>
      <c r="J18" s="99">
        <f t="shared" si="6"/>
        <v>0.24403838697169444</v>
      </c>
      <c r="K18" s="99">
        <f t="shared" si="6"/>
        <v>0.24623336811896687</v>
      </c>
      <c r="L18" s="99">
        <f t="shared" si="6"/>
        <v>0.23988645529565056</v>
      </c>
    </row>
    <row r="20" spans="1:16" x14ac:dyDescent="0.3">
      <c r="B20" s="93" t="s">
        <v>173</v>
      </c>
      <c r="C20" s="98">
        <f>IFERROR('Data Sheet'!B27,0)</f>
        <v>35</v>
      </c>
      <c r="D20" s="98">
        <f>IFERROR('Data Sheet'!C27,0)</f>
        <v>26</v>
      </c>
      <c r="E20" s="98">
        <f>IFERROR('Data Sheet'!D27,0)</f>
        <v>33</v>
      </c>
      <c r="F20" s="98">
        <f>IFERROR('Data Sheet'!E27,0)</f>
        <v>118</v>
      </c>
      <c r="G20" s="98">
        <f>IFERROR('Data Sheet'!F27,0)</f>
        <v>117</v>
      </c>
      <c r="H20" s="98">
        <f>IFERROR('Data Sheet'!G27,0)</f>
        <v>106</v>
      </c>
      <c r="I20" s="98">
        <f>IFERROR('Data Sheet'!H27,0)</f>
        <v>114</v>
      </c>
      <c r="J20" s="98">
        <f>IFERROR('Data Sheet'!I27,0)</f>
        <v>334</v>
      </c>
      <c r="K20" s="98">
        <f>IFERROR('Data Sheet'!J27,0)</f>
        <v>381</v>
      </c>
      <c r="L20" s="98">
        <f>IFERROR('Data Sheet'!K27,0)</f>
        <v>410</v>
      </c>
      <c r="P20" s="98" t="s">
        <v>16</v>
      </c>
    </row>
    <row r="21" spans="1:16" x14ac:dyDescent="0.3">
      <c r="B21" s="95" t="s">
        <v>237</v>
      </c>
      <c r="C21" s="99">
        <f>C20/C5</f>
        <v>1.0554248839032628E-3</v>
      </c>
      <c r="D21" s="99">
        <f t="shared" ref="D21:L21" si="7">D20/D5</f>
        <v>7.3146715431143621E-4</v>
      </c>
      <c r="E21" s="99">
        <f t="shared" si="7"/>
        <v>8.3948104807936915E-4</v>
      </c>
      <c r="F21" s="99">
        <f t="shared" si="7"/>
        <v>2.9660910439132291E-3</v>
      </c>
      <c r="G21" s="99">
        <f t="shared" si="7"/>
        <v>2.4878795611125285E-3</v>
      </c>
      <c r="H21" s="99">
        <f t="shared" si="7"/>
        <v>2.0211264920108303E-3</v>
      </c>
      <c r="I21" s="99">
        <f t="shared" si="7"/>
        <v>1.881809177946517E-3</v>
      </c>
      <c r="J21" s="99">
        <f t="shared" si="7"/>
        <v>5.3961483779242604E-3</v>
      </c>
      <c r="K21" s="99">
        <f t="shared" si="7"/>
        <v>6.2124967388468566E-3</v>
      </c>
      <c r="L21" s="99">
        <f t="shared" si="7"/>
        <v>6.3597443692994977E-3</v>
      </c>
      <c r="P21" s="82" t="s">
        <v>16</v>
      </c>
    </row>
    <row r="23" spans="1:16" x14ac:dyDescent="0.3">
      <c r="B23" s="93" t="s">
        <v>172</v>
      </c>
      <c r="C23" s="98">
        <f>IFERROR('Data Sheet'!B26,0)</f>
        <v>432</v>
      </c>
      <c r="D23" s="98">
        <f>IFERROR('Data Sheet'!C26,0)</f>
        <v>520</v>
      </c>
      <c r="E23" s="98">
        <f>IFERROR('Data Sheet'!D26,0)</f>
        <v>565</v>
      </c>
      <c r="F23" s="98">
        <f>IFERROR('Data Sheet'!E26,0)</f>
        <v>1002</v>
      </c>
      <c r="G23" s="98">
        <f>IFERROR('Data Sheet'!F26,0)</f>
        <v>1074</v>
      </c>
      <c r="H23" s="98">
        <f>IFERROR('Data Sheet'!G26,0)</f>
        <v>1091</v>
      </c>
      <c r="I23" s="98">
        <f>IFERROR('Data Sheet'!H26,0)</f>
        <v>1137</v>
      </c>
      <c r="J23" s="98">
        <f>IFERROR('Data Sheet'!I26,0)</f>
        <v>1216</v>
      </c>
      <c r="K23" s="98">
        <f>IFERROR('Data Sheet'!J26,0)</f>
        <v>1253</v>
      </c>
      <c r="L23" s="98">
        <f>IFERROR('Data Sheet'!K26,0)</f>
        <v>1333</v>
      </c>
    </row>
    <row r="24" spans="1:16" x14ac:dyDescent="0.3">
      <c r="B24" s="95" t="s">
        <v>238</v>
      </c>
      <c r="C24" s="99">
        <f>C23/C5</f>
        <v>1.3026958567034558E-2</v>
      </c>
      <c r="D24" s="99">
        <f t="shared" ref="D24:L24" si="8">D23/D5</f>
        <v>1.4629343086228723E-2</v>
      </c>
      <c r="E24" s="99">
        <f t="shared" si="8"/>
        <v>1.437293309590435E-2</v>
      </c>
      <c r="F24" s="99">
        <f t="shared" si="8"/>
        <v>2.5186637508483524E-2</v>
      </c>
      <c r="G24" s="99">
        <f t="shared" si="8"/>
        <v>2.2837458535340648E-2</v>
      </c>
      <c r="H24" s="99">
        <f t="shared" si="8"/>
        <v>2.0802349082866187E-2</v>
      </c>
      <c r="I24" s="99">
        <f t="shared" si="8"/>
        <v>1.8768570485308684E-2</v>
      </c>
      <c r="J24" s="99">
        <f t="shared" si="8"/>
        <v>1.9645857567532635E-2</v>
      </c>
      <c r="K24" s="99">
        <f t="shared" si="8"/>
        <v>2.0431124445603965E-2</v>
      </c>
      <c r="L24" s="99">
        <f t="shared" si="8"/>
        <v>2.0676924986039586E-2</v>
      </c>
    </row>
    <row r="25" spans="1:16" x14ac:dyDescent="0.3">
      <c r="B25" s="95"/>
      <c r="C25" s="99"/>
      <c r="D25" s="99"/>
      <c r="E25" s="99"/>
      <c r="F25" s="99"/>
      <c r="G25" s="99"/>
      <c r="H25" s="99"/>
      <c r="I25" s="99"/>
      <c r="J25" s="99"/>
      <c r="K25" s="99"/>
      <c r="L25" s="99"/>
    </row>
    <row r="26" spans="1:16" x14ac:dyDescent="0.3">
      <c r="A26" s="101"/>
      <c r="B26" s="101" t="s">
        <v>140</v>
      </c>
      <c r="C26" s="102">
        <f>C29+C20</f>
        <v>6191</v>
      </c>
      <c r="D26" s="102">
        <f t="shared" ref="D26:L26" si="9">D29+D20</f>
        <v>7274</v>
      </c>
      <c r="E26" s="102">
        <f t="shared" si="9"/>
        <v>8623</v>
      </c>
      <c r="F26" s="102">
        <f t="shared" si="9"/>
        <v>9158</v>
      </c>
      <c r="G26" s="102">
        <f t="shared" si="9"/>
        <v>10891</v>
      </c>
      <c r="H26" s="102">
        <f t="shared" si="9"/>
        <v>12084</v>
      </c>
      <c r="I26" s="102">
        <f t="shared" si="9"/>
        <v>13394</v>
      </c>
      <c r="J26" s="102">
        <f t="shared" si="9"/>
        <v>13889</v>
      </c>
      <c r="K26" s="102">
        <f t="shared" si="9"/>
        <v>13848</v>
      </c>
      <c r="L26" s="102">
        <f t="shared" si="9"/>
        <v>14132</v>
      </c>
    </row>
    <row r="27" spans="1:16" x14ac:dyDescent="0.3">
      <c r="B27" s="95" t="s">
        <v>373</v>
      </c>
      <c r="C27" s="99">
        <f>C26/C5</f>
        <v>0.18668958446414571</v>
      </c>
      <c r="D27" s="99">
        <f t="shared" ref="D27:L27" si="10">D26/D5</f>
        <v>0.20464200309466873</v>
      </c>
      <c r="E27" s="99">
        <f t="shared" si="10"/>
        <v>0.21935894174510304</v>
      </c>
      <c r="F27" s="99">
        <f t="shared" si="10"/>
        <v>0.23019882864540131</v>
      </c>
      <c r="G27" s="99">
        <f t="shared" si="10"/>
        <v>0.23158543846219273</v>
      </c>
      <c r="H27" s="99">
        <f t="shared" si="10"/>
        <v>0.23040842008923465</v>
      </c>
      <c r="I27" s="99">
        <f t="shared" si="10"/>
        <v>0.22109607131066358</v>
      </c>
      <c r="J27" s="99">
        <f t="shared" si="10"/>
        <v>0.22439252940416182</v>
      </c>
      <c r="K27" s="99">
        <f t="shared" si="10"/>
        <v>0.22580224367336291</v>
      </c>
      <c r="L27" s="99">
        <f t="shared" si="10"/>
        <v>0.21920953030961096</v>
      </c>
    </row>
    <row r="29" spans="1:16" x14ac:dyDescent="0.3">
      <c r="A29" s="100"/>
      <c r="B29" s="101" t="s">
        <v>239</v>
      </c>
      <c r="C29" s="102">
        <f t="shared" ref="C29:L29" si="11">C17-SUM(C20,C23)</f>
        <v>6156</v>
      </c>
      <c r="D29" s="102">
        <f t="shared" si="11"/>
        <v>7248</v>
      </c>
      <c r="E29" s="102">
        <f t="shared" si="11"/>
        <v>8590</v>
      </c>
      <c r="F29" s="102">
        <f t="shared" si="11"/>
        <v>9040</v>
      </c>
      <c r="G29" s="102">
        <f t="shared" si="11"/>
        <v>10774</v>
      </c>
      <c r="H29" s="102">
        <f t="shared" si="11"/>
        <v>11978</v>
      </c>
      <c r="I29" s="102">
        <f t="shared" si="11"/>
        <v>13280</v>
      </c>
      <c r="J29" s="102">
        <f t="shared" si="11"/>
        <v>13555</v>
      </c>
      <c r="K29" s="102">
        <f t="shared" si="11"/>
        <v>13467</v>
      </c>
      <c r="L29" s="102">
        <f t="shared" si="11"/>
        <v>13722</v>
      </c>
    </row>
    <row r="30" spans="1:16" x14ac:dyDescent="0.3">
      <c r="B30" s="95" t="s">
        <v>240</v>
      </c>
      <c r="C30" s="99">
        <f t="shared" ref="C30:L30" si="12">C29/C5</f>
        <v>0.18563415958024246</v>
      </c>
      <c r="D30" s="99">
        <f t="shared" si="12"/>
        <v>0.2039105359403573</v>
      </c>
      <c r="E30" s="99">
        <f t="shared" si="12"/>
        <v>0.21851946069702366</v>
      </c>
      <c r="F30" s="99">
        <f t="shared" si="12"/>
        <v>0.22723273760148807</v>
      </c>
      <c r="G30" s="99">
        <f t="shared" si="12"/>
        <v>0.22909755890108022</v>
      </c>
      <c r="H30" s="99">
        <f t="shared" si="12"/>
        <v>0.22838729359722382</v>
      </c>
      <c r="I30" s="99">
        <f t="shared" si="12"/>
        <v>0.21921426213271708</v>
      </c>
      <c r="J30" s="99">
        <f t="shared" si="12"/>
        <v>0.21899638102623756</v>
      </c>
      <c r="K30" s="99">
        <f t="shared" si="12"/>
        <v>0.21958974693451605</v>
      </c>
      <c r="L30" s="99">
        <f t="shared" si="12"/>
        <v>0.21284978594031148</v>
      </c>
    </row>
    <row r="32" spans="1:16" x14ac:dyDescent="0.3">
      <c r="B32" s="93" t="s">
        <v>241</v>
      </c>
      <c r="C32" s="98">
        <f>IFERROR('Data Sheet'!B29,0)</f>
        <v>1977</v>
      </c>
      <c r="D32" s="98">
        <f>IFERROR('Data Sheet'!C29,0)</f>
        <v>2079</v>
      </c>
      <c r="E32" s="98">
        <f>IFERROR('Data Sheet'!D29,0)</f>
        <v>2544</v>
      </c>
      <c r="F32" s="98">
        <f>IFERROR('Data Sheet'!E29,0)</f>
        <v>2409</v>
      </c>
      <c r="G32" s="98">
        <f>IFERROR('Data Sheet'!F29,0)</f>
        <v>2606</v>
      </c>
      <c r="H32" s="98">
        <f>IFERROR('Data Sheet'!G29,0)</f>
        <v>2987</v>
      </c>
      <c r="I32" s="98">
        <f>IFERROR('Data Sheet'!H29,0)</f>
        <v>3201</v>
      </c>
      <c r="J32" s="98">
        <f>IFERROR('Data Sheet'!I29,0)</f>
        <v>3644</v>
      </c>
      <c r="K32" s="98">
        <f>IFERROR('Data Sheet'!J29,0)</f>
        <v>3748</v>
      </c>
      <c r="L32" s="98">
        <f>IFERROR('Data Sheet'!K29,0)</f>
        <v>3160</v>
      </c>
    </row>
    <row r="33" spans="1:12" x14ac:dyDescent="0.3">
      <c r="B33" s="95" t="s">
        <v>242</v>
      </c>
      <c r="C33" s="99">
        <f>C32/C29</f>
        <v>0.32115009746588696</v>
      </c>
      <c r="D33" s="99">
        <f t="shared" ref="D33:L33" si="13">D32/D29</f>
        <v>0.28683774834437087</v>
      </c>
      <c r="E33" s="99">
        <f t="shared" si="13"/>
        <v>0.2961583236321304</v>
      </c>
      <c r="F33" s="99">
        <f t="shared" si="13"/>
        <v>0.26648230088495573</v>
      </c>
      <c r="G33" s="99">
        <f t="shared" si="13"/>
        <v>0.24187859662149619</v>
      </c>
      <c r="H33" s="99">
        <f t="shared" si="13"/>
        <v>0.24937385206211388</v>
      </c>
      <c r="I33" s="99">
        <f t="shared" si="13"/>
        <v>0.24103915662650602</v>
      </c>
      <c r="J33" s="99">
        <f t="shared" si="13"/>
        <v>0.26883068978236813</v>
      </c>
      <c r="K33" s="99">
        <f t="shared" si="13"/>
        <v>0.27830994282319743</v>
      </c>
      <c r="L33" s="99">
        <f t="shared" si="13"/>
        <v>0.23028713015595395</v>
      </c>
    </row>
    <row r="35" spans="1:12" x14ac:dyDescent="0.3">
      <c r="A35" s="100"/>
      <c r="B35" s="100" t="s">
        <v>243</v>
      </c>
      <c r="C35" s="102">
        <f>C29-C32</f>
        <v>4179</v>
      </c>
      <c r="D35" s="102">
        <f t="shared" ref="D35:L35" si="14">D29-D32</f>
        <v>5169</v>
      </c>
      <c r="E35" s="102">
        <f t="shared" si="14"/>
        <v>6046</v>
      </c>
      <c r="F35" s="102">
        <f t="shared" si="14"/>
        <v>6631</v>
      </c>
      <c r="G35" s="102">
        <f t="shared" si="14"/>
        <v>8168</v>
      </c>
      <c r="H35" s="102">
        <f t="shared" si="14"/>
        <v>8991</v>
      </c>
      <c r="I35" s="102">
        <f t="shared" si="14"/>
        <v>10079</v>
      </c>
      <c r="J35" s="102">
        <f t="shared" si="14"/>
        <v>9911</v>
      </c>
      <c r="K35" s="102">
        <f t="shared" si="14"/>
        <v>9719</v>
      </c>
      <c r="L35" s="102">
        <f t="shared" si="14"/>
        <v>10562</v>
      </c>
    </row>
    <row r="36" spans="1:12" x14ac:dyDescent="0.3">
      <c r="B36" s="95" t="s">
        <v>244</v>
      </c>
      <c r="C36" s="99">
        <f t="shared" ref="C36:L36" si="15">C35/C5</f>
        <v>0.12601773113804957</v>
      </c>
      <c r="D36" s="99">
        <f t="shared" si="15"/>
        <v>0.14542129694753131</v>
      </c>
      <c r="E36" s="99">
        <f t="shared" si="15"/>
        <v>0.15380310353599594</v>
      </c>
      <c r="F36" s="99">
        <f t="shared" si="15"/>
        <v>0.16667923484905614</v>
      </c>
      <c r="G36" s="99">
        <f t="shared" si="15"/>
        <v>0.17368376286467635</v>
      </c>
      <c r="H36" s="99">
        <f t="shared" si="15"/>
        <v>0.17143347443084314</v>
      </c>
      <c r="I36" s="99">
        <f t="shared" si="15"/>
        <v>0.16637504126774513</v>
      </c>
      <c r="J36" s="99">
        <f t="shared" si="15"/>
        <v>0.1601234328551118</v>
      </c>
      <c r="K36" s="99">
        <f t="shared" si="15"/>
        <v>0.15847573702061049</v>
      </c>
      <c r="L36" s="99">
        <f t="shared" si="15"/>
        <v>0.16383321958180802</v>
      </c>
    </row>
    <row r="38" spans="1:12" x14ac:dyDescent="0.3">
      <c r="B38" s="82" t="s">
        <v>245</v>
      </c>
      <c r="C38" s="82">
        <f>IFERROR('Data Sheet'!B93,0)</f>
        <v>216.43</v>
      </c>
      <c r="D38" s="82">
        <f>IFERROR('Data Sheet'!C93,0)</f>
        <v>216.45</v>
      </c>
      <c r="E38" s="82">
        <f>IFERROR('Data Sheet'!D93,0)</f>
        <v>216.47</v>
      </c>
      <c r="F38" s="82">
        <f>IFERROR('Data Sheet'!E93,0)</f>
        <v>216.48</v>
      </c>
      <c r="G38" s="82">
        <f>IFERROR('Data Sheet'!F93,0)</f>
        <v>234.96</v>
      </c>
      <c r="H38" s="82">
        <f>IFERROR('Data Sheet'!G93,0)</f>
        <v>234.96</v>
      </c>
      <c r="I38" s="82">
        <f>IFERROR('Data Sheet'!H93,0)</f>
        <v>234.96</v>
      </c>
      <c r="J38" s="82">
        <f>IFERROR('Data Sheet'!I93,0)</f>
        <v>234.96</v>
      </c>
      <c r="K38" s="82">
        <f>IFERROR('Data Sheet'!J93,0)</f>
        <v>234.96</v>
      </c>
      <c r="L38" s="82">
        <f>IFERROR('Data Sheet'!K93,0)</f>
        <v>234.96</v>
      </c>
    </row>
    <row r="40" spans="1:12" x14ac:dyDescent="0.3">
      <c r="B40" s="82" t="s">
        <v>246</v>
      </c>
      <c r="C40" s="103">
        <f>IFERROR(C35/C38,0)</f>
        <v>19.308783440373329</v>
      </c>
      <c r="D40" s="103">
        <f t="shared" ref="D40:L40" si="16">IFERROR(D35/D38,0)</f>
        <v>23.880803880803882</v>
      </c>
      <c r="E40" s="103">
        <f t="shared" si="16"/>
        <v>27.929967200997829</v>
      </c>
      <c r="F40" s="103">
        <f t="shared" si="16"/>
        <v>30.631005173688102</v>
      </c>
      <c r="G40" s="103">
        <f t="shared" si="16"/>
        <v>34.763363976847124</v>
      </c>
      <c r="H40" s="103">
        <f t="shared" si="16"/>
        <v>38.266087844739531</v>
      </c>
      <c r="I40" s="103">
        <f t="shared" si="16"/>
        <v>42.896663261831797</v>
      </c>
      <c r="J40" s="103">
        <f t="shared" si="16"/>
        <v>42.181647940074903</v>
      </c>
      <c r="K40" s="103">
        <f t="shared" si="16"/>
        <v>41.364487572352736</v>
      </c>
      <c r="L40" s="103">
        <f t="shared" si="16"/>
        <v>44.95233231188287</v>
      </c>
    </row>
    <row r="41" spans="1:12" x14ac:dyDescent="0.3">
      <c r="B41" s="95" t="s">
        <v>247</v>
      </c>
      <c r="C41" s="99"/>
      <c r="D41" s="99">
        <f>IFERROR(D40/C40-1,0)</f>
        <v>0.23678449005082181</v>
      </c>
      <c r="E41" s="99">
        <f t="shared" ref="E41:L41" si="17">IFERROR(E40/D40-1,0)</f>
        <v>0.16955724524201576</v>
      </c>
      <c r="F41" s="99">
        <f t="shared" si="17"/>
        <v>9.6707523974241427E-2</v>
      </c>
      <c r="G41" s="99">
        <f t="shared" si="17"/>
        <v>0.13490771131169743</v>
      </c>
      <c r="H41" s="99">
        <f t="shared" si="17"/>
        <v>0.1007590597453476</v>
      </c>
      <c r="I41" s="99">
        <f t="shared" si="17"/>
        <v>0.12100989878767643</v>
      </c>
      <c r="J41" s="99">
        <f t="shared" si="17"/>
        <v>-1.6668320269867976E-2</v>
      </c>
      <c r="K41" s="99">
        <f t="shared" si="17"/>
        <v>-1.9372414488951661E-2</v>
      </c>
      <c r="L41" s="99">
        <f t="shared" si="17"/>
        <v>8.673731865418266E-2</v>
      </c>
    </row>
    <row r="43" spans="1:12" x14ac:dyDescent="0.3">
      <c r="B43" s="82" t="s">
        <v>248</v>
      </c>
      <c r="C43" s="103">
        <f>IFERROR('Data Sheet'!B31/'Historical FS'!C38,0)</f>
        <v>16.966224645381878</v>
      </c>
      <c r="D43" s="103">
        <f>IFERROR('Data Sheet'!C31/'Historical FS'!D38,0)</f>
        <v>19.95841995841996</v>
      </c>
      <c r="E43" s="103">
        <f>IFERROR('Data Sheet'!D31/'Historical FS'!E38,0)</f>
        <v>21.95223356585208</v>
      </c>
      <c r="F43" s="103">
        <f>IFERROR('Data Sheet'!E31/'Historical FS'!F38,0)</f>
        <v>24.944567627494457</v>
      </c>
      <c r="G43" s="103">
        <f>IFERROR('Data Sheet'!F31/'Historical FS'!G38,0)</f>
        <v>40.506894790602651</v>
      </c>
      <c r="H43" s="103">
        <f>IFERROR('Data Sheet'!G31/'Historical FS'!H38,0)</f>
        <v>34.005788219271366</v>
      </c>
      <c r="I43" s="103">
        <f>IFERROR('Data Sheet'!H31/'Historical FS'!I38,0)</f>
        <v>39.006639427987743</v>
      </c>
      <c r="J43" s="103">
        <f>IFERROR('Data Sheet'!I31/'Historical FS'!J38,0)</f>
        <v>42.007150153217566</v>
      </c>
      <c r="K43" s="103">
        <f>IFERROR('Data Sheet'!J31/'Historical FS'!K38,0)</f>
        <v>53.009022812393596</v>
      </c>
      <c r="L43" s="103">
        <f>IFERROR('Data Sheet'!K31/'Historical FS'!L38,0)</f>
        <v>41.006979911474289</v>
      </c>
    </row>
    <row r="44" spans="1:12" x14ac:dyDescent="0.3">
      <c r="B44" s="95" t="s">
        <v>249</v>
      </c>
      <c r="C44" s="97">
        <f>IFERROR(C43/C40,0)</f>
        <v>0.87867910983488884</v>
      </c>
      <c r="D44" s="97">
        <f t="shared" ref="D44:L44" si="18">IFERROR(D43/D40,0)</f>
        <v>0.83575159605339522</v>
      </c>
      <c r="E44" s="97">
        <f t="shared" si="18"/>
        <v>0.78597419781673827</v>
      </c>
      <c r="F44" s="97">
        <f t="shared" si="18"/>
        <v>0.81435680892776352</v>
      </c>
      <c r="G44" s="97">
        <f t="shared" si="18"/>
        <v>1.1652179236043094</v>
      </c>
      <c r="H44" s="97">
        <f t="shared" si="18"/>
        <v>0.88866644422199981</v>
      </c>
      <c r="I44" s="97">
        <f t="shared" si="18"/>
        <v>0.90931640043655138</v>
      </c>
      <c r="J44" s="97">
        <f t="shared" si="18"/>
        <v>0.99586318232267179</v>
      </c>
      <c r="K44" s="97">
        <f t="shared" si="18"/>
        <v>1.2815104434612614</v>
      </c>
      <c r="L44" s="97">
        <f t="shared" si="18"/>
        <v>0.91223253171747776</v>
      </c>
    </row>
    <row r="46" spans="1:12" x14ac:dyDescent="0.3">
      <c r="B46" s="82" t="s">
        <v>250</v>
      </c>
      <c r="C46" s="104">
        <f>IFERROR(IF(C40&gt;C43,1-C44,0),0)</f>
        <v>0.12132089016511116</v>
      </c>
      <c r="D46" s="104">
        <f t="shared" ref="D46:L46" si="19">IFERROR(IF(D40&gt;D43,1-D44,0),0)</f>
        <v>0.16424840394660478</v>
      </c>
      <c r="E46" s="104">
        <f t="shared" si="19"/>
        <v>0.21402580218326173</v>
      </c>
      <c r="F46" s="104">
        <f t="shared" si="19"/>
        <v>0.18564319107223648</v>
      </c>
      <c r="G46" s="104">
        <f t="shared" si="19"/>
        <v>0</v>
      </c>
      <c r="H46" s="104">
        <f t="shared" si="19"/>
        <v>0.11133355577800019</v>
      </c>
      <c r="I46" s="104">
        <f t="shared" si="19"/>
        <v>9.0683599563448625E-2</v>
      </c>
      <c r="J46" s="104">
        <f t="shared" si="19"/>
        <v>4.1368176773282084E-3</v>
      </c>
      <c r="K46" s="104">
        <f t="shared" si="19"/>
        <v>0</v>
      </c>
      <c r="L46" s="104">
        <f t="shared" si="19"/>
        <v>8.7767468282522243E-2</v>
      </c>
    </row>
    <row r="48" spans="1:12" x14ac:dyDescent="0.3">
      <c r="A48" s="105" t="s">
        <v>136</v>
      </c>
      <c r="B48" s="91" t="s">
        <v>251</v>
      </c>
      <c r="C48" s="92"/>
      <c r="D48" s="92"/>
      <c r="E48" s="92"/>
      <c r="F48" s="92"/>
      <c r="G48" s="92"/>
      <c r="H48" s="92"/>
      <c r="I48" s="92"/>
      <c r="J48" s="92"/>
      <c r="K48" s="92"/>
      <c r="L48" s="92"/>
    </row>
    <row r="49" spans="2:16" x14ac:dyDescent="0.3">
      <c r="B49" s="82" t="s">
        <v>182</v>
      </c>
      <c r="C49" s="98">
        <f>IFERROR('Data Sheet'!B57,0)</f>
        <v>216</v>
      </c>
      <c r="D49" s="98">
        <f>IFERROR('Data Sheet'!C57,0)</f>
        <v>216</v>
      </c>
      <c r="E49" s="98">
        <f>IFERROR('Data Sheet'!D57,0)</f>
        <v>216</v>
      </c>
      <c r="F49" s="98">
        <f>IFERROR('Data Sheet'!E57,0)</f>
        <v>216</v>
      </c>
      <c r="G49" s="98">
        <f>IFERROR('Data Sheet'!F57,0)</f>
        <v>235</v>
      </c>
      <c r="H49" s="98">
        <f>IFERROR('Data Sheet'!G57,0)</f>
        <v>235</v>
      </c>
      <c r="I49" s="98">
        <f>IFERROR('Data Sheet'!H57,0)</f>
        <v>235</v>
      </c>
      <c r="J49" s="98">
        <f>IFERROR('Data Sheet'!I57,0)</f>
        <v>235</v>
      </c>
      <c r="K49" s="98">
        <f>IFERROR('Data Sheet'!J57,0)</f>
        <v>235</v>
      </c>
      <c r="L49" s="98">
        <f>IFERROR('Data Sheet'!K57,0)</f>
        <v>235</v>
      </c>
    </row>
    <row r="50" spans="2:16" x14ac:dyDescent="0.3">
      <c r="B50" s="82" t="s">
        <v>97</v>
      </c>
      <c r="C50" s="98">
        <f>IFERROR('Data Sheet'!B58,0)</f>
        <v>6528</v>
      </c>
      <c r="D50" s="98">
        <f>IFERROR('Data Sheet'!C58,0)</f>
        <v>7065</v>
      </c>
      <c r="E50" s="98">
        <f>IFERROR('Data Sheet'!D58,0)</f>
        <v>7651</v>
      </c>
      <c r="F50" s="98">
        <f>IFERROR('Data Sheet'!E58,0)</f>
        <v>8013</v>
      </c>
      <c r="G50" s="98">
        <f>IFERROR('Data Sheet'!F58,0)</f>
        <v>47439</v>
      </c>
      <c r="H50" s="98">
        <f>IFERROR('Data Sheet'!G58,0)</f>
        <v>48826</v>
      </c>
      <c r="I50" s="98">
        <f>IFERROR('Data Sheet'!H58,0)</f>
        <v>50069</v>
      </c>
      <c r="J50" s="98">
        <f>IFERROR('Data Sheet'!I58,0)</f>
        <v>50983</v>
      </c>
      <c r="K50" s="98">
        <f>IFERROR('Data Sheet'!J58,0)</f>
        <v>49167</v>
      </c>
      <c r="L50" s="98">
        <f>IFERROR('Data Sheet'!K58,0)</f>
        <v>48504</v>
      </c>
    </row>
    <row r="51" spans="2:16" x14ac:dyDescent="0.3">
      <c r="B51" s="82" t="s">
        <v>183</v>
      </c>
      <c r="C51" s="98">
        <f>IFERROR('Data Sheet'!B59,0)</f>
        <v>277</v>
      </c>
      <c r="D51" s="98">
        <f>IFERROR('Data Sheet'!C59,0)</f>
        <v>0</v>
      </c>
      <c r="E51" s="98">
        <f>IFERROR('Data Sheet'!D59,0)</f>
        <v>99</v>
      </c>
      <c r="F51" s="98">
        <f>IFERROR('Data Sheet'!E59,0)</f>
        <v>0</v>
      </c>
      <c r="G51" s="98">
        <f>IFERROR('Data Sheet'!F59,0)</f>
        <v>0</v>
      </c>
      <c r="H51" s="98">
        <f>IFERROR('Data Sheet'!G59,0)</f>
        <v>1043</v>
      </c>
      <c r="I51" s="98">
        <f>IFERROR('Data Sheet'!H59,0)</f>
        <v>1219</v>
      </c>
      <c r="J51" s="98">
        <f>IFERROR('Data Sheet'!I59,0)</f>
        <v>1484</v>
      </c>
      <c r="K51" s="98">
        <f>IFERROR('Data Sheet'!J59,0)</f>
        <v>1648</v>
      </c>
      <c r="L51" s="98">
        <f>IFERROR('Data Sheet'!K59,0)</f>
        <v>1478</v>
      </c>
    </row>
    <row r="52" spans="2:16" x14ac:dyDescent="0.3">
      <c r="B52" s="82" t="s">
        <v>184</v>
      </c>
      <c r="C52" s="98">
        <f>IFERROR('Data Sheet'!B60,0)</f>
        <v>8685</v>
      </c>
      <c r="D52" s="98">
        <f>IFERROR('Data Sheet'!C60,0)</f>
        <v>10581</v>
      </c>
      <c r="E52" s="98">
        <f>IFERROR('Data Sheet'!D60,0)</f>
        <v>10663</v>
      </c>
      <c r="F52" s="98">
        <f>IFERROR('Data Sheet'!E60,0)</f>
        <v>11924</v>
      </c>
      <c r="G52" s="98">
        <f>IFERROR('Data Sheet'!F60,0)</f>
        <v>21066</v>
      </c>
      <c r="H52" s="98">
        <f>IFERROR('Data Sheet'!G60,0)</f>
        <v>20402</v>
      </c>
      <c r="I52" s="98">
        <f>IFERROR('Data Sheet'!H60,0)</f>
        <v>21554</v>
      </c>
      <c r="J52" s="98">
        <f>IFERROR('Data Sheet'!I60,0)</f>
        <v>25787</v>
      </c>
      <c r="K52" s="98">
        <f>IFERROR('Data Sheet'!J60,0)</f>
        <v>28813</v>
      </c>
      <c r="L52" s="98">
        <f>IFERROR('Data Sheet'!K60,0)</f>
        <v>29521</v>
      </c>
    </row>
    <row r="53" spans="2:16" x14ac:dyDescent="0.3">
      <c r="B53" s="182" t="s">
        <v>104</v>
      </c>
      <c r="C53" s="183">
        <f>IFERROR('Data Sheet'!B66,0)</f>
        <v>15706</v>
      </c>
      <c r="D53" s="183">
        <f>IFERROR('Data Sheet'!C66,0)</f>
        <v>17862</v>
      </c>
      <c r="E53" s="183">
        <f>IFERROR('Data Sheet'!D66,0)</f>
        <v>18629</v>
      </c>
      <c r="F53" s="183">
        <f>IFERROR('Data Sheet'!E66,0)</f>
        <v>20153</v>
      </c>
      <c r="G53" s="183">
        <f>IFERROR('Data Sheet'!F66,0)</f>
        <v>68740</v>
      </c>
      <c r="H53" s="183">
        <f>IFERROR('Data Sheet'!G66,0)</f>
        <v>70506</v>
      </c>
      <c r="I53" s="183">
        <f>IFERROR('Data Sheet'!H66,0)</f>
        <v>73077</v>
      </c>
      <c r="J53" s="183">
        <f>IFERROR('Data Sheet'!I66,0)</f>
        <v>78489</v>
      </c>
      <c r="K53" s="183">
        <f>IFERROR('Data Sheet'!J66,0)</f>
        <v>79863</v>
      </c>
      <c r="L53" s="183">
        <f>IFERROR('Data Sheet'!K66,0)</f>
        <v>79738</v>
      </c>
    </row>
    <row r="55" spans="2:16" x14ac:dyDescent="0.3">
      <c r="B55" s="82" t="s">
        <v>252</v>
      </c>
      <c r="C55" s="98">
        <f>IFERROR('Data Sheet'!B62,0)</f>
        <v>4419</v>
      </c>
      <c r="D55" s="98">
        <f>IFERROR('Data Sheet'!C62,0)</f>
        <v>4528</v>
      </c>
      <c r="E55" s="98">
        <f>IFERROR('Data Sheet'!D62,0)</f>
        <v>4715</v>
      </c>
      <c r="F55" s="98">
        <f>IFERROR('Data Sheet'!E62,0)</f>
        <v>5479</v>
      </c>
      <c r="G55" s="98">
        <f>IFERROR('Data Sheet'!F62,0)</f>
        <v>51443</v>
      </c>
      <c r="H55" s="98">
        <f>IFERROR('Data Sheet'!G62,0)</f>
        <v>51473</v>
      </c>
      <c r="I55" s="98">
        <f>IFERROR('Data Sheet'!H62,0)</f>
        <v>52678</v>
      </c>
      <c r="J55" s="98">
        <f>IFERROR('Data Sheet'!I62,0)</f>
        <v>53744</v>
      </c>
      <c r="K55" s="98">
        <f>IFERROR('Data Sheet'!J62,0)</f>
        <v>54335</v>
      </c>
      <c r="L55" s="98">
        <f>IFERROR('Data Sheet'!K62,0)</f>
        <v>57428</v>
      </c>
    </row>
    <row r="56" spans="2:16" x14ac:dyDescent="0.3">
      <c r="B56" s="82" t="s">
        <v>185</v>
      </c>
      <c r="C56" s="98">
        <f>IFERROR('Data Sheet'!B63,0)</f>
        <v>229</v>
      </c>
      <c r="D56" s="98">
        <f>IFERROR('Data Sheet'!C63,0)</f>
        <v>461</v>
      </c>
      <c r="E56" s="98">
        <f>IFERROR('Data Sheet'!D63,0)</f>
        <v>406</v>
      </c>
      <c r="F56" s="98">
        <f>IFERROR('Data Sheet'!E63,0)</f>
        <v>597</v>
      </c>
      <c r="G56" s="98">
        <f>IFERROR('Data Sheet'!F63,0)</f>
        <v>745</v>
      </c>
      <c r="H56" s="98">
        <f>IFERROR('Data Sheet'!G63,0)</f>
        <v>1313</v>
      </c>
      <c r="I56" s="98">
        <f>IFERROR('Data Sheet'!H63,0)</f>
        <v>1132</v>
      </c>
      <c r="J56" s="98">
        <f>IFERROR('Data Sheet'!I63,0)</f>
        <v>1025</v>
      </c>
      <c r="K56" s="98">
        <f>IFERROR('Data Sheet'!J63,0)</f>
        <v>1009</v>
      </c>
      <c r="L56" s="98">
        <f>IFERROR('Data Sheet'!K63,0)</f>
        <v>880</v>
      </c>
      <c r="P56" s="181" t="s">
        <v>16</v>
      </c>
    </row>
    <row r="57" spans="2:16" x14ac:dyDescent="0.3">
      <c r="B57" s="82" t="s">
        <v>117</v>
      </c>
      <c r="C57" s="98">
        <f>IFERROR('Data Sheet'!B64,0)</f>
        <v>3794</v>
      </c>
      <c r="D57" s="98">
        <f>IFERROR('Data Sheet'!C64,0)</f>
        <v>2873</v>
      </c>
      <c r="E57" s="98">
        <f>IFERROR('Data Sheet'!D64,0)</f>
        <v>2716</v>
      </c>
      <c r="F57" s="98">
        <f>IFERROR('Data Sheet'!E64,0)</f>
        <v>1255</v>
      </c>
      <c r="G57" s="98">
        <f>IFERROR('Data Sheet'!F64,0)</f>
        <v>2709</v>
      </c>
      <c r="H57" s="98">
        <f>IFERROR('Data Sheet'!G64,0)</f>
        <v>3521</v>
      </c>
      <c r="I57" s="98">
        <f>IFERROR('Data Sheet'!H64,0)</f>
        <v>2882</v>
      </c>
      <c r="J57" s="98">
        <f>IFERROR('Data Sheet'!I64,0)</f>
        <v>4625</v>
      </c>
      <c r="K57" s="98">
        <f>IFERROR('Data Sheet'!J64,0)</f>
        <v>3810</v>
      </c>
      <c r="L57" s="98">
        <f>IFERROR('Data Sheet'!K64,0)</f>
        <v>4359</v>
      </c>
    </row>
    <row r="58" spans="2:16" x14ac:dyDescent="0.3">
      <c r="B58" s="82" t="s">
        <v>186</v>
      </c>
      <c r="C58" s="98">
        <f>IFERROR('Data Sheet'!B65-SUM('Historical FS'!C61:C63),0)</f>
        <v>1810</v>
      </c>
      <c r="D58" s="98">
        <f>IFERROR('Data Sheet'!C65-SUM('Historical FS'!D61:D63),0)</f>
        <v>2692</v>
      </c>
      <c r="E58" s="98">
        <f>IFERROR('Data Sheet'!D65-SUM('Historical FS'!E61:E63),0)</f>
        <v>2645</v>
      </c>
      <c r="F58" s="98">
        <f>IFERROR('Data Sheet'!E65-SUM('Historical FS'!F61:F63),0)</f>
        <v>3793</v>
      </c>
      <c r="G58" s="98">
        <f>IFERROR('Data Sheet'!F65-SUM('Historical FS'!G61:G63),0)</f>
        <v>4035</v>
      </c>
      <c r="H58" s="98">
        <f>IFERROR('Data Sheet'!G65-SUM('Historical FS'!H61:H63),0)</f>
        <v>4021</v>
      </c>
      <c r="I58" s="98">
        <f>IFERROR('Data Sheet'!H65-SUM('Historical FS'!I61:I63),0)</f>
        <v>4377</v>
      </c>
      <c r="J58" s="98">
        <f>IFERROR('Data Sheet'!I65-SUM('Historical FS'!J61:J63),0)</f>
        <v>4517</v>
      </c>
      <c r="K58" s="98">
        <f>IFERROR('Data Sheet'!J65-SUM('Historical FS'!K61:K63),0)</f>
        <v>4921</v>
      </c>
      <c r="L58" s="98">
        <f>IFERROR('Data Sheet'!K65-SUM('Historical FS'!L61:L63),0)</f>
        <v>5655</v>
      </c>
    </row>
    <row r="59" spans="2:16" x14ac:dyDescent="0.3">
      <c r="B59" s="182" t="s">
        <v>253</v>
      </c>
      <c r="C59" s="183">
        <f>SUM(C55:C58)</f>
        <v>10252</v>
      </c>
      <c r="D59" s="183">
        <f t="shared" ref="D59:L59" si="20">SUM(D55:D58)</f>
        <v>10554</v>
      </c>
      <c r="E59" s="183">
        <f t="shared" si="20"/>
        <v>10482</v>
      </c>
      <c r="F59" s="183">
        <f t="shared" si="20"/>
        <v>11124</v>
      </c>
      <c r="G59" s="183">
        <f t="shared" si="20"/>
        <v>58932</v>
      </c>
      <c r="H59" s="183">
        <f t="shared" si="20"/>
        <v>60328</v>
      </c>
      <c r="I59" s="183">
        <f t="shared" si="20"/>
        <v>61069</v>
      </c>
      <c r="J59" s="183">
        <f t="shared" si="20"/>
        <v>63911</v>
      </c>
      <c r="K59" s="183">
        <f t="shared" si="20"/>
        <v>64075</v>
      </c>
      <c r="L59" s="183">
        <f t="shared" si="20"/>
        <v>68322</v>
      </c>
    </row>
    <row r="60" spans="2:16" x14ac:dyDescent="0.3">
      <c r="B60" s="93"/>
    </row>
    <row r="61" spans="2:16" x14ac:dyDescent="0.3">
      <c r="B61" s="82" t="s">
        <v>187</v>
      </c>
      <c r="C61" s="98">
        <f>IFERROR('Data Sheet'!B67,0)</f>
        <v>1085</v>
      </c>
      <c r="D61" s="98">
        <f>IFERROR('Data Sheet'!C67,0)</f>
        <v>1310</v>
      </c>
      <c r="E61" s="98">
        <f>IFERROR('Data Sheet'!D67,0)</f>
        <v>1816</v>
      </c>
      <c r="F61" s="98">
        <f>IFERROR('Data Sheet'!E67,0)</f>
        <v>1149</v>
      </c>
      <c r="G61" s="98">
        <f>IFERROR('Data Sheet'!F67,0)</f>
        <v>1758</v>
      </c>
      <c r="H61" s="98">
        <f>IFERROR('Data Sheet'!G67,0)</f>
        <v>2236</v>
      </c>
      <c r="I61" s="98">
        <f>IFERROR('Data Sheet'!H67,0)</f>
        <v>3079</v>
      </c>
      <c r="J61" s="98">
        <f>IFERROR('Data Sheet'!I67,0)</f>
        <v>2997</v>
      </c>
      <c r="K61" s="98">
        <f>IFERROR('Data Sheet'!J67,0)</f>
        <v>3819</v>
      </c>
      <c r="L61" s="98">
        <f>IFERROR('Data Sheet'!K67,0)</f>
        <v>3379</v>
      </c>
    </row>
    <row r="62" spans="2:16" x14ac:dyDescent="0.3">
      <c r="B62" s="82" t="s">
        <v>188</v>
      </c>
      <c r="C62" s="98">
        <f>IFERROR('Data Sheet'!B68,0)</f>
        <v>2541</v>
      </c>
      <c r="D62" s="98">
        <f>IFERROR('Data Sheet'!C68,0)</f>
        <v>2513</v>
      </c>
      <c r="E62" s="98">
        <f>IFERROR('Data Sheet'!D68,0)</f>
        <v>2574</v>
      </c>
      <c r="F62" s="98">
        <f>IFERROR('Data Sheet'!E68,0)</f>
        <v>2767</v>
      </c>
      <c r="G62" s="98">
        <f>IFERROR('Data Sheet'!F68,0)</f>
        <v>3579</v>
      </c>
      <c r="H62" s="98">
        <f>IFERROR('Data Sheet'!G68,0)</f>
        <v>4096</v>
      </c>
      <c r="I62" s="98">
        <f>IFERROR('Data Sheet'!H68,0)</f>
        <v>4251</v>
      </c>
      <c r="J62" s="98">
        <f>IFERROR('Data Sheet'!I68,0)</f>
        <v>4022</v>
      </c>
      <c r="K62" s="98">
        <f>IFERROR('Data Sheet'!J68,0)</f>
        <v>4415</v>
      </c>
      <c r="L62" s="98">
        <f>IFERROR('Data Sheet'!K68,0)</f>
        <v>4789</v>
      </c>
    </row>
    <row r="63" spans="2:16" x14ac:dyDescent="0.3">
      <c r="B63" s="82" t="s">
        <v>189</v>
      </c>
      <c r="C63" s="98">
        <f>IFERROR('Data Sheet'!B69,0)</f>
        <v>1828</v>
      </c>
      <c r="D63" s="98">
        <f>IFERROR('Data Sheet'!C69,0)</f>
        <v>3485</v>
      </c>
      <c r="E63" s="98">
        <f>IFERROR('Data Sheet'!D69,0)</f>
        <v>3757</v>
      </c>
      <c r="F63" s="98">
        <f>IFERROR('Data Sheet'!E69,0)</f>
        <v>5113</v>
      </c>
      <c r="G63" s="98">
        <f>IFERROR('Data Sheet'!F69,0)</f>
        <v>4471</v>
      </c>
      <c r="H63" s="98">
        <f>IFERROR('Data Sheet'!G69,0)</f>
        <v>3846</v>
      </c>
      <c r="I63" s="98">
        <f>IFERROR('Data Sheet'!H69,0)</f>
        <v>4678</v>
      </c>
      <c r="J63" s="98">
        <f>IFERROR('Data Sheet'!I69,0)</f>
        <v>7559</v>
      </c>
      <c r="K63" s="98">
        <f>IFERROR('Data Sheet'!J69,0)</f>
        <v>7554</v>
      </c>
      <c r="L63" s="98">
        <f>IFERROR('Data Sheet'!K69,0)</f>
        <v>3248</v>
      </c>
    </row>
    <row r="64" spans="2:16" x14ac:dyDescent="0.3">
      <c r="B64" s="182" t="s">
        <v>133</v>
      </c>
      <c r="C64" s="183">
        <f>IFERROR(SUM(C61:C63),0)</f>
        <v>5454</v>
      </c>
      <c r="D64" s="183">
        <f t="shared" ref="D64:L64" si="21">IFERROR(SUM(D61:D63),0)</f>
        <v>7308</v>
      </c>
      <c r="E64" s="183">
        <f t="shared" si="21"/>
        <v>8147</v>
      </c>
      <c r="F64" s="183">
        <f t="shared" si="21"/>
        <v>9029</v>
      </c>
      <c r="G64" s="183">
        <f t="shared" si="21"/>
        <v>9808</v>
      </c>
      <c r="H64" s="183">
        <f t="shared" si="21"/>
        <v>10178</v>
      </c>
      <c r="I64" s="183">
        <f t="shared" si="21"/>
        <v>12008</v>
      </c>
      <c r="J64" s="183">
        <f t="shared" si="21"/>
        <v>14578</v>
      </c>
      <c r="K64" s="183">
        <f t="shared" si="21"/>
        <v>15788</v>
      </c>
      <c r="L64" s="183">
        <f t="shared" si="21"/>
        <v>11416</v>
      </c>
    </row>
    <row r="65" spans="1:12" x14ac:dyDescent="0.3">
      <c r="B65" s="93"/>
    </row>
    <row r="66" spans="1:12" x14ac:dyDescent="0.3">
      <c r="B66" s="182" t="s">
        <v>122</v>
      </c>
      <c r="C66" s="183">
        <f>IFERROR(C64+C59,0)</f>
        <v>15706</v>
      </c>
      <c r="D66" s="183">
        <f t="shared" ref="D66:L66" si="22">IFERROR(D64+D59,0)</f>
        <v>17862</v>
      </c>
      <c r="E66" s="183">
        <f t="shared" si="22"/>
        <v>18629</v>
      </c>
      <c r="F66" s="183">
        <f t="shared" si="22"/>
        <v>20153</v>
      </c>
      <c r="G66" s="183">
        <f t="shared" si="22"/>
        <v>68740</v>
      </c>
      <c r="H66" s="183">
        <f t="shared" si="22"/>
        <v>70506</v>
      </c>
      <c r="I66" s="183">
        <f t="shared" si="22"/>
        <v>73077</v>
      </c>
      <c r="J66" s="183">
        <f t="shared" si="22"/>
        <v>78489</v>
      </c>
      <c r="K66" s="183">
        <f t="shared" si="22"/>
        <v>79863</v>
      </c>
      <c r="L66" s="183">
        <f t="shared" si="22"/>
        <v>79738</v>
      </c>
    </row>
    <row r="68" spans="1:12" x14ac:dyDescent="0.3">
      <c r="B68" s="105" t="s">
        <v>254</v>
      </c>
      <c r="C68" s="105" t="b">
        <f>C66=C53</f>
        <v>1</v>
      </c>
      <c r="D68" s="105" t="b">
        <f t="shared" ref="D68:L68" si="23">D66=D53</f>
        <v>1</v>
      </c>
      <c r="E68" s="105" t="b">
        <f t="shared" si="23"/>
        <v>1</v>
      </c>
      <c r="F68" s="105" t="b">
        <f t="shared" si="23"/>
        <v>1</v>
      </c>
      <c r="G68" s="105" t="b">
        <f t="shared" si="23"/>
        <v>1</v>
      </c>
      <c r="H68" s="105" t="b">
        <f t="shared" si="23"/>
        <v>1</v>
      </c>
      <c r="I68" s="105" t="b">
        <f t="shared" si="23"/>
        <v>1</v>
      </c>
      <c r="J68" s="105" t="b">
        <f t="shared" si="23"/>
        <v>1</v>
      </c>
      <c r="K68" s="105" t="b">
        <f t="shared" si="23"/>
        <v>1</v>
      </c>
      <c r="L68" s="105" t="b">
        <f t="shared" si="23"/>
        <v>1</v>
      </c>
    </row>
    <row r="70" spans="1:12" x14ac:dyDescent="0.3">
      <c r="A70" s="105" t="s">
        <v>136</v>
      </c>
      <c r="B70" s="91" t="s">
        <v>255</v>
      </c>
      <c r="C70" s="92"/>
      <c r="D70" s="92"/>
      <c r="E70" s="92"/>
      <c r="F70" s="92"/>
      <c r="G70" s="92"/>
      <c r="H70" s="92"/>
      <c r="I70" s="92"/>
      <c r="J70" s="92"/>
      <c r="K70" s="92"/>
      <c r="L70" s="92"/>
    </row>
    <row r="71" spans="1:12" x14ac:dyDescent="0.3">
      <c r="A71" s="105"/>
      <c r="B71" s="93" t="s">
        <v>256</v>
      </c>
    </row>
    <row r="72" spans="1:12" x14ac:dyDescent="0.3">
      <c r="B72" s="82" t="s">
        <v>202</v>
      </c>
      <c r="C72" s="106">
        <f>IFERROR('Cash Flow Data'!E4,0)</f>
        <v>6512</v>
      </c>
      <c r="D72" s="106">
        <f>IFERROR('Cash Flow Data'!F4,0)</f>
        <v>7485</v>
      </c>
      <c r="E72" s="106">
        <f>IFERROR('Cash Flow Data'!G4,0)</f>
        <v>8909</v>
      </c>
      <c r="F72" s="106">
        <f>IFERROR('Cash Flow Data'!H4,0)</f>
        <v>9723</v>
      </c>
      <c r="G72" s="106">
        <f>IFERROR('Cash Flow Data'!I4,0)</f>
        <v>11672</v>
      </c>
      <c r="H72" s="106">
        <f>IFERROR('Cash Flow Data'!J4,0)</f>
        <v>12829</v>
      </c>
      <c r="I72" s="106">
        <f>IFERROR('Cash Flow Data'!K4,0)</f>
        <v>14089</v>
      </c>
      <c r="J72" s="106">
        <f>IFERROR('Cash Flow Data'!L4,0)</f>
        <v>14537</v>
      </c>
      <c r="K72" s="106">
        <f>IFERROR('Cash Flow Data'!M4,0)</f>
        <v>14942</v>
      </c>
      <c r="L72" s="106">
        <f>IFERROR('Cash Flow Data'!N4,0)</f>
        <v>15153</v>
      </c>
    </row>
    <row r="73" spans="1:12" x14ac:dyDescent="0.3">
      <c r="B73" s="82" t="s">
        <v>187</v>
      </c>
      <c r="C73" s="106">
        <f>IFERROR('Cash Flow Data'!E5,0)</f>
        <v>173</v>
      </c>
      <c r="D73" s="106">
        <f>IFERROR('Cash Flow Data'!F5,0)</f>
        <v>0</v>
      </c>
      <c r="E73" s="106">
        <f>IFERROR('Cash Flow Data'!G5,0)</f>
        <v>0</v>
      </c>
      <c r="F73" s="106">
        <f>IFERROR('Cash Flow Data'!H5,0)</f>
        <v>0</v>
      </c>
      <c r="G73" s="106">
        <f>IFERROR('Cash Flow Data'!I5,0)</f>
        <v>0</v>
      </c>
      <c r="H73" s="106">
        <f>IFERROR('Cash Flow Data'!J5,0)</f>
        <v>0</v>
      </c>
      <c r="I73" s="106">
        <f>IFERROR('Cash Flow Data'!K5,0)</f>
        <v>0</v>
      </c>
      <c r="J73" s="106">
        <f>IFERROR('Cash Flow Data'!L5,0)</f>
        <v>0</v>
      </c>
      <c r="K73" s="106">
        <f>IFERROR('Cash Flow Data'!M5,0)</f>
        <v>0</v>
      </c>
      <c r="L73" s="106">
        <f>IFERROR('Cash Flow Data'!N5,0)</f>
        <v>0</v>
      </c>
    </row>
    <row r="74" spans="1:12" x14ac:dyDescent="0.3">
      <c r="B74" s="82" t="s">
        <v>188</v>
      </c>
      <c r="C74" s="106">
        <f>IFERROR('Cash Flow Data'!E6,0)</f>
        <v>37</v>
      </c>
      <c r="D74" s="106">
        <f>IFERROR('Cash Flow Data'!F6,0)</f>
        <v>-146</v>
      </c>
      <c r="E74" s="106">
        <f>IFERROR('Cash Flow Data'!G6,0)</f>
        <v>-195</v>
      </c>
      <c r="F74" s="106">
        <f>IFERROR('Cash Flow Data'!H6,0)</f>
        <v>-331</v>
      </c>
      <c r="G74" s="106">
        <f>IFERROR('Cash Flow Data'!I6,0)</f>
        <v>-543</v>
      </c>
      <c r="H74" s="106">
        <f>IFERROR('Cash Flow Data'!J6,0)</f>
        <v>-758</v>
      </c>
      <c r="I74" s="106">
        <f>IFERROR('Cash Flow Data'!K6,0)</f>
        <v>-339</v>
      </c>
      <c r="J74" s="106">
        <f>IFERROR('Cash Flow Data'!L6,0)</f>
        <v>74</v>
      </c>
      <c r="K74" s="106">
        <f>IFERROR('Cash Flow Data'!M6,0)</f>
        <v>-584</v>
      </c>
      <c r="L74" s="106">
        <f>IFERROR('Cash Flow Data'!N6,0)</f>
        <v>-692</v>
      </c>
    </row>
    <row r="75" spans="1:12" x14ac:dyDescent="0.3">
      <c r="B75" s="82" t="s">
        <v>203</v>
      </c>
      <c r="C75" s="106">
        <f>IFERROR('Cash Flow Data'!E7,0)</f>
        <v>501</v>
      </c>
      <c r="D75" s="106">
        <f>IFERROR('Cash Flow Data'!F7,0)</f>
        <v>0</v>
      </c>
      <c r="E75" s="106">
        <f>IFERROR('Cash Flow Data'!G7,0)</f>
        <v>0</v>
      </c>
      <c r="F75" s="106">
        <f>IFERROR('Cash Flow Data'!H7,0)</f>
        <v>0</v>
      </c>
      <c r="G75" s="106">
        <f>IFERROR('Cash Flow Data'!I7,0)</f>
        <v>0</v>
      </c>
      <c r="H75" s="106">
        <f>IFERROR('Cash Flow Data'!J7,0)</f>
        <v>0</v>
      </c>
      <c r="I75" s="106">
        <f>IFERROR('Cash Flow Data'!K7,0)</f>
        <v>0</v>
      </c>
      <c r="J75" s="106">
        <f>IFERROR('Cash Flow Data'!L7,0)</f>
        <v>0</v>
      </c>
      <c r="K75" s="106">
        <f>IFERROR('Cash Flow Data'!M7,0)</f>
        <v>0</v>
      </c>
      <c r="L75" s="106">
        <f>IFERROR('Cash Flow Data'!N7,0)</f>
        <v>0</v>
      </c>
    </row>
    <row r="76" spans="1:12" x14ac:dyDescent="0.3">
      <c r="B76" s="82" t="s">
        <v>204</v>
      </c>
      <c r="C76" s="106">
        <f>IFERROR('Cash Flow Data'!E8,0)</f>
        <v>0</v>
      </c>
      <c r="D76" s="106">
        <f>IFERROR('Cash Flow Data'!F8,0)</f>
        <v>0</v>
      </c>
      <c r="E76" s="106">
        <f>IFERROR('Cash Flow Data'!G8,0)</f>
        <v>0</v>
      </c>
      <c r="F76" s="106">
        <f>IFERROR('Cash Flow Data'!H8,0)</f>
        <v>0</v>
      </c>
      <c r="G76" s="106">
        <f>IFERROR('Cash Flow Data'!I8,0)</f>
        <v>0</v>
      </c>
      <c r="H76" s="106">
        <f>IFERROR('Cash Flow Data'!J8,0)</f>
        <v>0</v>
      </c>
      <c r="I76" s="106">
        <f>IFERROR('Cash Flow Data'!K8,0)</f>
        <v>0</v>
      </c>
      <c r="J76" s="106">
        <f>IFERROR('Cash Flow Data'!L8,0)</f>
        <v>0</v>
      </c>
      <c r="K76" s="106">
        <f>IFERROR('Cash Flow Data'!M8,0)</f>
        <v>0</v>
      </c>
      <c r="L76" s="106">
        <f>IFERROR('Cash Flow Data'!N8,0)</f>
        <v>0</v>
      </c>
    </row>
    <row r="77" spans="1:12" x14ac:dyDescent="0.3">
      <c r="B77" s="82" t="s">
        <v>365</v>
      </c>
      <c r="C77" s="106">
        <f>IFERROR('Cash Flow Data'!E9,0)</f>
        <v>-46</v>
      </c>
      <c r="D77" s="106">
        <f>IFERROR('Cash Flow Data'!F9,0)</f>
        <v>0</v>
      </c>
      <c r="E77" s="106">
        <f>IFERROR('Cash Flow Data'!G9,0)</f>
        <v>0</v>
      </c>
      <c r="F77" s="106">
        <f>IFERROR('Cash Flow Data'!H9,0)</f>
        <v>0</v>
      </c>
      <c r="G77" s="106">
        <f>IFERROR('Cash Flow Data'!I9,0)</f>
        <v>0</v>
      </c>
      <c r="H77" s="106">
        <f>IFERROR('Cash Flow Data'!J9,0)</f>
        <v>0</v>
      </c>
      <c r="I77" s="106">
        <f>IFERROR('Cash Flow Data'!K9,0)</f>
        <v>0</v>
      </c>
      <c r="J77" s="106">
        <f>IFERROR('Cash Flow Data'!L9,0)</f>
        <v>0</v>
      </c>
      <c r="K77" s="106">
        <f>IFERROR('Cash Flow Data'!M9,0)</f>
        <v>0</v>
      </c>
      <c r="L77" s="106">
        <f>IFERROR('Cash Flow Data'!N9,0)</f>
        <v>0</v>
      </c>
    </row>
    <row r="78" spans="1:12" x14ac:dyDescent="0.3">
      <c r="B78" s="82" t="s">
        <v>206</v>
      </c>
      <c r="C78" s="106">
        <f>IFERROR('Cash Flow Data'!E10,0)</f>
        <v>-99</v>
      </c>
      <c r="D78" s="106">
        <f>IFERROR('Cash Flow Data'!F10,0)</f>
        <v>982</v>
      </c>
      <c r="E78" s="106">
        <f>IFERROR('Cash Flow Data'!G10,0)</f>
        <v>-147</v>
      </c>
      <c r="F78" s="106">
        <f>IFERROR('Cash Flow Data'!H10,0)</f>
        <v>742</v>
      </c>
      <c r="G78" s="106">
        <f>IFERROR('Cash Flow Data'!I10,0)</f>
        <v>442</v>
      </c>
      <c r="H78" s="106">
        <f>IFERROR('Cash Flow Data'!J10,0)</f>
        <v>-242</v>
      </c>
      <c r="I78" s="106">
        <f>IFERROR('Cash Flow Data'!K10,0)</f>
        <v>-621</v>
      </c>
      <c r="J78" s="106">
        <f>IFERROR('Cash Flow Data'!L10,0)</f>
        <v>1239</v>
      </c>
      <c r="K78" s="106">
        <f>IFERROR('Cash Flow Data'!M10,0)</f>
        <v>-204</v>
      </c>
      <c r="L78" s="106">
        <f>IFERROR('Cash Flow Data'!N10,0)</f>
        <v>1378</v>
      </c>
    </row>
    <row r="79" spans="1:12" x14ac:dyDescent="0.3">
      <c r="B79" s="180" t="s">
        <v>366</v>
      </c>
      <c r="C79" s="106">
        <f>IFERROR('Cash Flow Data'!E13,0)</f>
        <v>-21</v>
      </c>
      <c r="D79" s="106">
        <f>IFERROR('Cash Flow Data'!F13,0)</f>
        <v>0</v>
      </c>
      <c r="E79" s="106">
        <f>IFERROR('Cash Flow Data'!G13,0)</f>
        <v>0</v>
      </c>
      <c r="F79" s="106">
        <f>IFERROR('Cash Flow Data'!H13,0)</f>
        <v>0</v>
      </c>
      <c r="G79" s="106">
        <f>IFERROR('Cash Flow Data'!I13,0)</f>
        <v>0</v>
      </c>
      <c r="H79" s="106">
        <f>IFERROR('Cash Flow Data'!J13,0)</f>
        <v>0</v>
      </c>
      <c r="I79" s="106">
        <f>IFERROR('Cash Flow Data'!K13,0)</f>
        <v>0</v>
      </c>
      <c r="J79" s="106">
        <f>IFERROR('Cash Flow Data'!L13,0)</f>
        <v>0</v>
      </c>
      <c r="K79" s="106">
        <f>IFERROR('Cash Flow Data'!M13,0)</f>
        <v>0</v>
      </c>
      <c r="L79" s="106">
        <f>IFERROR('Cash Flow Data'!N13,0)</f>
        <v>0</v>
      </c>
    </row>
    <row r="80" spans="1:12" x14ac:dyDescent="0.3">
      <c r="B80" s="180" t="s">
        <v>367</v>
      </c>
      <c r="C80" s="106">
        <f>IFERROR('Cash Flow Data'!E14,0)</f>
        <v>-13</v>
      </c>
      <c r="D80" s="106">
        <f>IFERROR('Cash Flow Data'!F14,0)</f>
        <v>2</v>
      </c>
      <c r="E80" s="106">
        <f>IFERROR('Cash Flow Data'!G14,0)</f>
        <v>0</v>
      </c>
      <c r="F80" s="106">
        <f>IFERROR('Cash Flow Data'!H14,0)</f>
        <v>-6</v>
      </c>
      <c r="G80" s="106">
        <f>IFERROR('Cash Flow Data'!I14,0)</f>
        <v>-1</v>
      </c>
      <c r="H80" s="106">
        <f>IFERROR('Cash Flow Data'!J14,0)</f>
        <v>3</v>
      </c>
      <c r="I80" s="106">
        <f>IFERROR('Cash Flow Data'!K14,0)</f>
        <v>0</v>
      </c>
      <c r="J80" s="106">
        <f>IFERROR('Cash Flow Data'!L14,0)</f>
        <v>0</v>
      </c>
      <c r="K80" s="106">
        <f>IFERROR('Cash Flow Data'!M14,0)</f>
        <v>0</v>
      </c>
      <c r="L80" s="106">
        <f>IFERROR('Cash Flow Data'!N14,0)</f>
        <v>0</v>
      </c>
    </row>
    <row r="81" spans="2:12" x14ac:dyDescent="0.3">
      <c r="B81" s="82" t="s">
        <v>208</v>
      </c>
      <c r="C81" s="106">
        <f>IFERROR('Cash Flow Data'!E12,0)</f>
        <v>-1859</v>
      </c>
      <c r="D81" s="106">
        <f>IFERROR('Cash Flow Data'!F12,0)</f>
        <v>-2264</v>
      </c>
      <c r="E81" s="106">
        <f>IFERROR('Cash Flow Data'!G12,0)</f>
        <v>-2767</v>
      </c>
      <c r="F81" s="106">
        <f>IFERROR('Cash Flow Data'!H12,0)</f>
        <v>-2505</v>
      </c>
      <c r="G81" s="106">
        <f>IFERROR('Cash Flow Data'!I12,0)</f>
        <v>-2407</v>
      </c>
      <c r="H81" s="106">
        <f>IFERROR('Cash Flow Data'!J12,0)</f>
        <v>-2784</v>
      </c>
      <c r="I81" s="106">
        <f>IFERROR('Cash Flow Data'!K12,0)</f>
        <v>-3138</v>
      </c>
      <c r="J81" s="106">
        <f>IFERROR('Cash Flow Data'!L12,0)</f>
        <v>-381</v>
      </c>
      <c r="K81" s="106">
        <f>IFERROR('Cash Flow Data'!M12,0)</f>
        <v>-2268</v>
      </c>
      <c r="L81" s="106">
        <f>IFERROR('Cash Flow Data'!N12,0)</f>
        <v>-4840</v>
      </c>
    </row>
    <row r="82" spans="2:12" x14ac:dyDescent="0.3">
      <c r="B82" s="182" t="s">
        <v>257</v>
      </c>
      <c r="C82" s="184">
        <f>IFERROR(SUM(C72:C81),0)</f>
        <v>5185</v>
      </c>
      <c r="D82" s="184">
        <f t="shared" ref="D82:L82" si="24">IFERROR(SUM(D72:D81),0)</f>
        <v>6059</v>
      </c>
      <c r="E82" s="184">
        <f t="shared" si="24"/>
        <v>5800</v>
      </c>
      <c r="F82" s="184">
        <f t="shared" si="24"/>
        <v>7623</v>
      </c>
      <c r="G82" s="184">
        <f t="shared" si="24"/>
        <v>9163</v>
      </c>
      <c r="H82" s="184">
        <f t="shared" si="24"/>
        <v>9048</v>
      </c>
      <c r="I82" s="184">
        <f t="shared" si="24"/>
        <v>9991</v>
      </c>
      <c r="J82" s="184">
        <f t="shared" si="24"/>
        <v>15469</v>
      </c>
      <c r="K82" s="184">
        <f t="shared" si="24"/>
        <v>11886</v>
      </c>
      <c r="L82" s="184">
        <f t="shared" si="24"/>
        <v>10999</v>
      </c>
    </row>
    <row r="84" spans="2:12" x14ac:dyDescent="0.3">
      <c r="B84" s="93" t="s">
        <v>258</v>
      </c>
    </row>
    <row r="85" spans="2:12" x14ac:dyDescent="0.3">
      <c r="B85" s="177" t="s">
        <v>210</v>
      </c>
      <c r="C85" s="106">
        <f>IFERROR('Cash Flow Data'!E16,0)</f>
        <v>-1113</v>
      </c>
      <c r="D85" s="106">
        <f>IFERROR('Cash Flow Data'!F16,0)</f>
        <v>-895</v>
      </c>
      <c r="E85" s="106">
        <f>IFERROR('Cash Flow Data'!G16,0)</f>
        <v>-767</v>
      </c>
      <c r="F85" s="106">
        <f>IFERROR('Cash Flow Data'!H16,0)</f>
        <v>-862</v>
      </c>
      <c r="G85" s="106">
        <f>IFERROR('Cash Flow Data'!I16,0)</f>
        <v>-4163</v>
      </c>
      <c r="H85" s="106">
        <f>IFERROR('Cash Flow Data'!J16,0)</f>
        <v>-1228</v>
      </c>
      <c r="I85" s="106">
        <f>IFERROR('Cash Flow Data'!K16,0)</f>
        <v>-1192</v>
      </c>
      <c r="J85" s="106">
        <f>IFERROR('Cash Flow Data'!L16,0)</f>
        <v>-1477</v>
      </c>
      <c r="K85" s="106">
        <f>IFERROR('Cash Flow Data'!M16,0)</f>
        <v>-1275</v>
      </c>
      <c r="L85" s="106">
        <f>IFERROR('Cash Flow Data'!N16,0)</f>
        <v>-1361</v>
      </c>
    </row>
    <row r="86" spans="2:12" x14ac:dyDescent="0.3">
      <c r="B86" s="177" t="s">
        <v>211</v>
      </c>
      <c r="C86" s="106">
        <f>IFERROR('Cash Flow Data'!E17,0)</f>
        <v>176</v>
      </c>
      <c r="D86" s="106">
        <f>IFERROR('Cash Flow Data'!F17,0)</f>
        <v>32</v>
      </c>
      <c r="E86" s="106">
        <f>IFERROR('Cash Flow Data'!G17,0)</f>
        <v>13</v>
      </c>
      <c r="F86" s="106">
        <f>IFERROR('Cash Flow Data'!H17,0)</f>
        <v>52</v>
      </c>
      <c r="G86" s="106">
        <f>IFERROR('Cash Flow Data'!I17,0)</f>
        <v>97</v>
      </c>
      <c r="H86" s="106">
        <f>IFERROR('Cash Flow Data'!J17,0)</f>
        <v>175</v>
      </c>
      <c r="I86" s="106">
        <f>IFERROR('Cash Flow Data'!K17,0)</f>
        <v>181</v>
      </c>
      <c r="J86" s="106">
        <f>IFERROR('Cash Flow Data'!L17,0)</f>
        <v>20</v>
      </c>
      <c r="K86" s="106">
        <f>IFERROR('Cash Flow Data'!M17,0)</f>
        <v>13</v>
      </c>
      <c r="L86" s="106">
        <f>IFERROR('Cash Flow Data'!N17,0)</f>
        <v>29</v>
      </c>
    </row>
    <row r="87" spans="2:12" x14ac:dyDescent="0.3">
      <c r="B87" s="177" t="s">
        <v>212</v>
      </c>
      <c r="C87" s="106">
        <f>IFERROR('Cash Flow Data'!E18,0)</f>
        <v>-31214</v>
      </c>
      <c r="D87" s="106">
        <f>IFERROR('Cash Flow Data'!F18,0)</f>
        <v>-51855</v>
      </c>
      <c r="E87" s="106">
        <f>IFERROR('Cash Flow Data'!G18,0)</f>
        <v>-74365</v>
      </c>
      <c r="F87" s="106">
        <f>IFERROR('Cash Flow Data'!H18,0)</f>
        <v>-36090</v>
      </c>
      <c r="G87" s="106">
        <f>IFERROR('Cash Flow Data'!I18,0)</f>
        <v>-39920</v>
      </c>
      <c r="H87" s="106">
        <f>IFERROR('Cash Flow Data'!J18,0)</f>
        <v>-48522</v>
      </c>
      <c r="I87" s="106">
        <f>IFERROR('Cash Flow Data'!K18,0)</f>
        <v>-22649</v>
      </c>
      <c r="J87" s="106">
        <f>IFERROR('Cash Flow Data'!L18,0)</f>
        <v>-21337</v>
      </c>
      <c r="K87" s="106">
        <f>IFERROR('Cash Flow Data'!M18,0)</f>
        <v>-22957</v>
      </c>
      <c r="L87" s="106">
        <f>IFERROR('Cash Flow Data'!N18,0)</f>
        <v>-25529</v>
      </c>
    </row>
    <row r="88" spans="2:12" x14ac:dyDescent="0.3">
      <c r="B88" s="177" t="s">
        <v>213</v>
      </c>
      <c r="C88" s="106">
        <f>IFERROR('Cash Flow Data'!E19,0)</f>
        <v>30083</v>
      </c>
      <c r="D88" s="106">
        <f>IFERROR('Cash Flow Data'!F19,0)</f>
        <v>52897</v>
      </c>
      <c r="E88" s="106">
        <f>IFERROR('Cash Flow Data'!G19,0)</f>
        <v>74691</v>
      </c>
      <c r="F88" s="106">
        <f>IFERROR('Cash Flow Data'!H19,0)</f>
        <v>37690</v>
      </c>
      <c r="G88" s="106">
        <f>IFERROR('Cash Flow Data'!I19,0)</f>
        <v>38486</v>
      </c>
      <c r="H88" s="106">
        <f>IFERROR('Cash Flow Data'!J19,0)</f>
        <v>47786</v>
      </c>
      <c r="I88" s="106">
        <f>IFERROR('Cash Flow Data'!K19,0)</f>
        <v>23462</v>
      </c>
      <c r="J88" s="106">
        <f>IFERROR('Cash Flow Data'!L19,0)</f>
        <v>19846</v>
      </c>
      <c r="K88" s="106">
        <f>IFERROR('Cash Flow Data'!M19,0)</f>
        <v>23987</v>
      </c>
      <c r="L88" s="106">
        <f>IFERROR('Cash Flow Data'!N19,0)</f>
        <v>25117</v>
      </c>
    </row>
    <row r="89" spans="2:12" x14ac:dyDescent="0.3">
      <c r="B89" s="177" t="s">
        <v>214</v>
      </c>
      <c r="C89" s="106">
        <f>IFERROR('Cash Flow Data'!E20,0)</f>
        <v>264</v>
      </c>
      <c r="D89" s="106">
        <f>IFERROR('Cash Flow Data'!F20,0)</f>
        <v>297</v>
      </c>
      <c r="E89" s="106">
        <f>IFERROR('Cash Flow Data'!G20,0)</f>
        <v>289</v>
      </c>
      <c r="F89" s="106">
        <f>IFERROR('Cash Flow Data'!H20,0)</f>
        <v>351</v>
      </c>
      <c r="G89" s="106">
        <f>IFERROR('Cash Flow Data'!I20,0)</f>
        <v>277</v>
      </c>
      <c r="H89" s="106">
        <f>IFERROR('Cash Flow Data'!J20,0)</f>
        <v>161</v>
      </c>
      <c r="I89" s="106">
        <f>IFERROR('Cash Flow Data'!K20,0)</f>
        <v>259</v>
      </c>
      <c r="J89" s="106">
        <f>IFERROR('Cash Flow Data'!L20,0)</f>
        <v>425</v>
      </c>
      <c r="K89" s="106">
        <f>IFERROR('Cash Flow Data'!M20,0)</f>
        <v>835</v>
      </c>
      <c r="L89" s="106">
        <f>IFERROR('Cash Flow Data'!N20,0)</f>
        <v>428</v>
      </c>
    </row>
    <row r="90" spans="2:12" x14ac:dyDescent="0.3">
      <c r="B90" s="177" t="s">
        <v>215</v>
      </c>
      <c r="C90" s="106">
        <f>IFERROR('Cash Flow Data'!E21,0)</f>
        <v>14</v>
      </c>
      <c r="D90" s="106">
        <f>IFERROR('Cash Flow Data'!F21,0)</f>
        <v>0</v>
      </c>
      <c r="E90" s="106">
        <f>IFERROR('Cash Flow Data'!G21,0)</f>
        <v>1</v>
      </c>
      <c r="F90" s="106">
        <f>IFERROR('Cash Flow Data'!H21,0)</f>
        <v>1</v>
      </c>
      <c r="G90" s="106">
        <f>IFERROR('Cash Flow Data'!I21,0)</f>
        <v>1</v>
      </c>
      <c r="H90" s="106">
        <f>IFERROR('Cash Flow Data'!J21,0)</f>
        <v>1</v>
      </c>
      <c r="I90" s="106">
        <f>IFERROR('Cash Flow Data'!K21,0)</f>
        <v>2</v>
      </c>
      <c r="J90" s="106">
        <f>IFERROR('Cash Flow Data'!L21,0)</f>
        <v>3</v>
      </c>
      <c r="K90" s="106">
        <f>IFERROR('Cash Flow Data'!M21,0)</f>
        <v>0</v>
      </c>
      <c r="L90" s="106">
        <f>IFERROR('Cash Flow Data'!N21,0)</f>
        <v>5</v>
      </c>
    </row>
    <row r="91" spans="2:12" x14ac:dyDescent="0.3">
      <c r="B91" s="177" t="s">
        <v>217</v>
      </c>
      <c r="C91" s="106">
        <f>IFERROR('Cash Flow Data'!E22,0)</f>
        <v>20</v>
      </c>
      <c r="D91" s="106">
        <f>IFERROR('Cash Flow Data'!F22,0)</f>
        <v>73</v>
      </c>
      <c r="E91" s="106">
        <f>IFERROR('Cash Flow Data'!G22,0)</f>
        <v>0</v>
      </c>
      <c r="F91" s="106">
        <f>IFERROR('Cash Flow Data'!H22,0)</f>
        <v>0</v>
      </c>
      <c r="G91" s="106">
        <f>IFERROR('Cash Flow Data'!I22,0)</f>
        <v>0</v>
      </c>
      <c r="H91" s="106">
        <f>IFERROR('Cash Flow Data'!J22,0)</f>
        <v>0</v>
      </c>
      <c r="I91" s="106">
        <f>IFERROR('Cash Flow Data'!K22,0)</f>
        <v>0</v>
      </c>
      <c r="J91" s="106">
        <f>IFERROR('Cash Flow Data'!L22,0)</f>
        <v>0</v>
      </c>
      <c r="K91" s="106">
        <f>IFERROR('Cash Flow Data'!M22,0)</f>
        <v>0</v>
      </c>
      <c r="L91" s="106">
        <f>IFERROR('Cash Flow Data'!N22,0)</f>
        <v>298</v>
      </c>
    </row>
    <row r="92" spans="2:12" x14ac:dyDescent="0.3">
      <c r="B92" s="177" t="s">
        <v>369</v>
      </c>
      <c r="C92" s="106">
        <f>IFERROR('Cash Flow Data'!E23,0)</f>
        <v>0</v>
      </c>
      <c r="D92" s="106">
        <f>IFERROR('Cash Flow Data'!F23,0)</f>
        <v>0</v>
      </c>
      <c r="E92" s="106">
        <f>IFERROR('Cash Flow Data'!G23,0)</f>
        <v>0</v>
      </c>
      <c r="F92" s="106">
        <f>IFERROR('Cash Flow Data'!H23,0)</f>
        <v>0</v>
      </c>
      <c r="G92" s="106">
        <f>IFERROR('Cash Flow Data'!I23,0)</f>
        <v>0</v>
      </c>
      <c r="H92" s="106">
        <f>IFERROR('Cash Flow Data'!J23,0)</f>
        <v>0</v>
      </c>
      <c r="I92" s="106">
        <f>IFERROR('Cash Flow Data'!K23,0)</f>
        <v>-334</v>
      </c>
      <c r="J92" s="106">
        <f>IFERROR('Cash Flow Data'!L23,0)</f>
        <v>0</v>
      </c>
      <c r="K92" s="106">
        <f>IFERROR('Cash Flow Data'!M23,0)</f>
        <v>0</v>
      </c>
      <c r="L92" s="106">
        <f>IFERROR('Cash Flow Data'!N23,0)</f>
        <v>0</v>
      </c>
    </row>
    <row r="93" spans="2:12" x14ac:dyDescent="0.3">
      <c r="B93" s="177" t="s">
        <v>218</v>
      </c>
      <c r="C93" s="106">
        <f>IFERROR('Cash Flow Data'!E24,0)</f>
        <v>597</v>
      </c>
      <c r="D93" s="106">
        <f>IFERROR('Cash Flow Data'!F24,0)</f>
        <v>-1612</v>
      </c>
      <c r="E93" s="106">
        <f>IFERROR('Cash Flow Data'!G24,0)</f>
        <v>-300</v>
      </c>
      <c r="F93" s="106">
        <f>IFERROR('Cash Flow Data'!H24,0)</f>
        <v>649</v>
      </c>
      <c r="G93" s="106">
        <f>IFERROR('Cash Flow Data'!I24,0)</f>
        <v>3994</v>
      </c>
      <c r="H93" s="106">
        <f>IFERROR('Cash Flow Data'!J24,0)</f>
        <v>-101</v>
      </c>
      <c r="I93" s="106">
        <f>IFERROR('Cash Flow Data'!K24,0)</f>
        <v>-1213</v>
      </c>
      <c r="J93" s="106">
        <f>IFERROR('Cash Flow Data'!L24,0)</f>
        <v>-2804</v>
      </c>
      <c r="K93" s="106">
        <f>IFERROR('Cash Flow Data'!M24,0)</f>
        <v>5870</v>
      </c>
      <c r="L93" s="106">
        <f>IFERROR('Cash Flow Data'!N24,0)</f>
        <v>-2663</v>
      </c>
    </row>
    <row r="94" spans="2:12" x14ac:dyDescent="0.3">
      <c r="B94" s="182" t="s">
        <v>259</v>
      </c>
      <c r="C94" s="184">
        <f t="shared" ref="C94:L94" si="25">IFERROR(SUM(C85:C93),0)</f>
        <v>-1173</v>
      </c>
      <c r="D94" s="184">
        <f t="shared" si="25"/>
        <v>-1063</v>
      </c>
      <c r="E94" s="184">
        <f t="shared" si="25"/>
        <v>-438</v>
      </c>
      <c r="F94" s="184">
        <f t="shared" si="25"/>
        <v>1791</v>
      </c>
      <c r="G94" s="184">
        <f t="shared" si="25"/>
        <v>-1228</v>
      </c>
      <c r="H94" s="184">
        <f t="shared" si="25"/>
        <v>-1728</v>
      </c>
      <c r="I94" s="184">
        <f t="shared" si="25"/>
        <v>-1484</v>
      </c>
      <c r="J94" s="184">
        <f t="shared" si="25"/>
        <v>-5324</v>
      </c>
      <c r="K94" s="184">
        <f t="shared" si="25"/>
        <v>6473</v>
      </c>
      <c r="L94" s="184">
        <f t="shared" si="25"/>
        <v>-3676</v>
      </c>
    </row>
    <row r="96" spans="2:12" x14ac:dyDescent="0.3">
      <c r="B96" s="93" t="s">
        <v>260</v>
      </c>
    </row>
    <row r="97" spans="2:12" x14ac:dyDescent="0.3">
      <c r="B97" s="82" t="s">
        <v>220</v>
      </c>
      <c r="C97" s="106">
        <f>IFERROR('Cash Flow Data'!E26,0)</f>
        <v>0</v>
      </c>
      <c r="D97" s="106">
        <f>IFERROR('Cash Flow Data'!F26,0)</f>
        <v>0</v>
      </c>
      <c r="E97" s="106">
        <f>IFERROR('Cash Flow Data'!G26,0)</f>
        <v>0</v>
      </c>
      <c r="F97" s="106">
        <f>IFERROR('Cash Flow Data'!H26,0)</f>
        <v>0</v>
      </c>
      <c r="G97" s="106">
        <f>IFERROR('Cash Flow Data'!I26,0)</f>
        <v>0</v>
      </c>
      <c r="H97" s="106">
        <f>IFERROR('Cash Flow Data'!J26,0)</f>
        <v>0</v>
      </c>
      <c r="I97" s="106">
        <f>IFERROR('Cash Flow Data'!K26,0)</f>
        <v>0</v>
      </c>
      <c r="J97" s="106">
        <f>IFERROR('Cash Flow Data'!L26,0)</f>
        <v>0</v>
      </c>
      <c r="K97" s="106">
        <f>IFERROR('Cash Flow Data'!M26,0)</f>
        <v>0</v>
      </c>
      <c r="L97" s="106">
        <f>IFERROR('Cash Flow Data'!N26,0)</f>
        <v>0</v>
      </c>
    </row>
    <row r="98" spans="2:12" x14ac:dyDescent="0.3">
      <c r="B98" s="82" t="s">
        <v>221</v>
      </c>
      <c r="C98" s="106">
        <f>IFERROR('Cash Flow Data'!E27,0)</f>
        <v>460</v>
      </c>
      <c r="D98" s="106">
        <f>IFERROR('Cash Flow Data'!F27,0)</f>
        <v>0</v>
      </c>
      <c r="E98" s="106">
        <f>IFERROR('Cash Flow Data'!G27,0)</f>
        <v>99</v>
      </c>
      <c r="F98" s="106">
        <f>IFERROR('Cash Flow Data'!H27,0)</f>
        <v>0</v>
      </c>
      <c r="G98" s="106">
        <f>IFERROR('Cash Flow Data'!I27,0)</f>
        <v>188</v>
      </c>
      <c r="H98" s="106">
        <f>IFERROR('Cash Flow Data'!J27,0)</f>
        <v>55</v>
      </c>
      <c r="I98" s="106">
        <f>IFERROR('Cash Flow Data'!K27,0)</f>
        <v>286</v>
      </c>
      <c r="J98" s="106">
        <f>IFERROR('Cash Flow Data'!L27,0)</f>
        <v>0</v>
      </c>
      <c r="K98" s="106">
        <f>IFERROR('Cash Flow Data'!M27,0)</f>
        <v>0</v>
      </c>
      <c r="L98" s="106">
        <f>IFERROR('Cash Flow Data'!N27,0)</f>
        <v>0</v>
      </c>
    </row>
    <row r="99" spans="2:12" x14ac:dyDescent="0.3">
      <c r="B99" s="82" t="s">
        <v>222</v>
      </c>
      <c r="C99" s="106">
        <f>IFERROR('Cash Flow Data'!E28,0)</f>
        <v>-360</v>
      </c>
      <c r="D99" s="106">
        <f>IFERROR('Cash Flow Data'!F28,0)</f>
        <v>-277</v>
      </c>
      <c r="E99" s="106">
        <f>IFERROR('Cash Flow Data'!G28,0)</f>
        <v>0</v>
      </c>
      <c r="F99" s="106">
        <f>IFERROR('Cash Flow Data'!H28,0)</f>
        <v>-99</v>
      </c>
      <c r="G99" s="106">
        <f>IFERROR('Cash Flow Data'!I28,0)</f>
        <v>-188</v>
      </c>
      <c r="H99" s="106">
        <f>IFERROR('Cash Flow Data'!J28,0)</f>
        <v>-55</v>
      </c>
      <c r="I99" s="106">
        <f>IFERROR('Cash Flow Data'!K28,0)</f>
        <v>-208</v>
      </c>
      <c r="J99" s="106">
        <f>IFERROR('Cash Flow Data'!L28,0)</f>
        <v>-85</v>
      </c>
      <c r="K99" s="106">
        <f>IFERROR('Cash Flow Data'!M28,0)</f>
        <v>0</v>
      </c>
      <c r="L99" s="106">
        <f>IFERROR('Cash Flow Data'!N28,0)</f>
        <v>-46</v>
      </c>
    </row>
    <row r="100" spans="2:12" x14ac:dyDescent="0.3">
      <c r="B100" s="82" t="s">
        <v>223</v>
      </c>
      <c r="C100" s="106">
        <f>IFERROR('Cash Flow Data'!E29,0)</f>
        <v>-14</v>
      </c>
      <c r="D100" s="106">
        <f>IFERROR('Cash Flow Data'!F29,0)</f>
        <v>-6</v>
      </c>
      <c r="E100" s="106">
        <f>IFERROR('Cash Flow Data'!G29,0)</f>
        <v>-7</v>
      </c>
      <c r="F100" s="106">
        <f>IFERROR('Cash Flow Data'!H29,0)</f>
        <v>-90</v>
      </c>
      <c r="G100" s="106">
        <f>IFERROR('Cash Flow Data'!I29,0)</f>
        <v>-92</v>
      </c>
      <c r="H100" s="106">
        <f>IFERROR('Cash Flow Data'!J29,0)</f>
        <v>-82</v>
      </c>
      <c r="I100" s="106">
        <f>IFERROR('Cash Flow Data'!K29,0)</f>
        <v>-88</v>
      </c>
      <c r="J100" s="106">
        <f>IFERROR('Cash Flow Data'!L29,0)</f>
        <v>-110</v>
      </c>
      <c r="K100" s="106">
        <f>IFERROR('Cash Flow Data'!M29,0)</f>
        <v>-130</v>
      </c>
      <c r="L100" s="106">
        <f>IFERROR('Cash Flow Data'!N29,0)</f>
        <v>-133</v>
      </c>
    </row>
    <row r="101" spans="2:12" x14ac:dyDescent="0.3">
      <c r="B101" s="82" t="s">
        <v>371</v>
      </c>
      <c r="C101" s="106">
        <f>IFERROR('Cash Flow Data'!E30,0)</f>
        <v>-3572</v>
      </c>
      <c r="D101" s="106">
        <f>IFERROR('Cash Flow Data'!F30,0)</f>
        <v>-3911</v>
      </c>
      <c r="E101" s="106">
        <f>IFERROR('Cash Flow Data'!G30,0)</f>
        <v>-4554</v>
      </c>
      <c r="F101" s="106">
        <f>IFERROR('Cash Flow Data'!H30,0)</f>
        <v>-5196</v>
      </c>
      <c r="G101" s="106">
        <f>IFERROR('Cash Flow Data'!I30,0)</f>
        <v>-8811</v>
      </c>
      <c r="H101" s="106">
        <f>IFERROR('Cash Flow Data'!J30,0)</f>
        <v>-7526</v>
      </c>
      <c r="I101" s="106">
        <f>IFERROR('Cash Flow Data'!K30,0)</f>
        <v>-8474</v>
      </c>
      <c r="J101" s="106">
        <f>IFERROR('Cash Flow Data'!L30,0)</f>
        <v>-9416</v>
      </c>
      <c r="K101" s="106">
        <f>IFERROR('Cash Flow Data'!M30,0)</f>
        <v>-12473</v>
      </c>
      <c r="L101" s="106">
        <f>IFERROR('Cash Flow Data'!N30,0)</f>
        <v>-10124</v>
      </c>
    </row>
    <row r="102" spans="2:12" x14ac:dyDescent="0.3">
      <c r="B102" s="82" t="s">
        <v>224</v>
      </c>
      <c r="C102" s="106">
        <f>IFERROR('Cash Flow Data'!E31,0)</f>
        <v>0</v>
      </c>
      <c r="D102" s="106">
        <f>IFERROR('Cash Flow Data'!F31,0)</f>
        <v>0</v>
      </c>
      <c r="E102" s="106">
        <f>IFERROR('Cash Flow Data'!G31,0)</f>
        <v>0</v>
      </c>
      <c r="F102" s="106">
        <f>IFERROR('Cash Flow Data'!H31,0)</f>
        <v>-373</v>
      </c>
      <c r="G102" s="106">
        <f>IFERROR('Cash Flow Data'!I31,0)</f>
        <v>-406</v>
      </c>
      <c r="H102" s="106">
        <f>IFERROR('Cash Flow Data'!J31,0)</f>
        <v>-407</v>
      </c>
      <c r="I102" s="106">
        <f>IFERROR('Cash Flow Data'!K31,0)</f>
        <v>-467</v>
      </c>
      <c r="J102" s="106">
        <f>IFERROR('Cash Flow Data'!L31,0)</f>
        <v>-423</v>
      </c>
      <c r="K102" s="106">
        <f>IFERROR('Cash Flow Data'!M31,0)</f>
        <v>-498</v>
      </c>
      <c r="L102" s="106">
        <f>IFERROR('Cash Flow Data'!N31,0)</f>
        <v>-507</v>
      </c>
    </row>
    <row r="103" spans="2:12" x14ac:dyDescent="0.3">
      <c r="B103" s="82" t="s">
        <v>225</v>
      </c>
      <c r="C103" s="106">
        <f>IFERROR('Cash Flow Data'!E32,0)</f>
        <v>-728</v>
      </c>
      <c r="D103" s="106">
        <f>IFERROR('Cash Flow Data'!F32,0)</f>
        <v>-781</v>
      </c>
      <c r="E103" s="106">
        <f>IFERROR('Cash Flow Data'!G32,0)</f>
        <v>-928</v>
      </c>
      <c r="F103" s="106">
        <f>IFERROR('Cash Flow Data'!H32,0)</f>
        <v>-1061</v>
      </c>
      <c r="G103" s="106">
        <f>IFERROR('Cash Flow Data'!I32,0)</f>
        <v>0</v>
      </c>
      <c r="H103" s="106">
        <f>IFERROR('Cash Flow Data'!J32,0)</f>
        <v>0</v>
      </c>
      <c r="I103" s="106">
        <f>IFERROR('Cash Flow Data'!K32,0)</f>
        <v>-2</v>
      </c>
      <c r="J103" s="106">
        <f>IFERROR('Cash Flow Data'!L32,0)</f>
        <v>0</v>
      </c>
      <c r="K103" s="106">
        <f>IFERROR('Cash Flow Data'!M32,0)</f>
        <v>0</v>
      </c>
      <c r="L103" s="106">
        <f>IFERROR('Cash Flow Data'!N32,0)</f>
        <v>0</v>
      </c>
    </row>
    <row r="104" spans="2:12" x14ac:dyDescent="0.3">
      <c r="B104" s="182" t="s">
        <v>261</v>
      </c>
      <c r="C104" s="184">
        <f t="shared" ref="C104:L104" si="26">IFERROR(SUM(C97:C103),0)</f>
        <v>-4214</v>
      </c>
      <c r="D104" s="184">
        <f t="shared" si="26"/>
        <v>-4975</v>
      </c>
      <c r="E104" s="184">
        <f t="shared" si="26"/>
        <v>-5390</v>
      </c>
      <c r="F104" s="184">
        <f t="shared" si="26"/>
        <v>-6819</v>
      </c>
      <c r="G104" s="184">
        <f t="shared" si="26"/>
        <v>-9309</v>
      </c>
      <c r="H104" s="184">
        <f t="shared" si="26"/>
        <v>-8015</v>
      </c>
      <c r="I104" s="184">
        <f t="shared" si="26"/>
        <v>-8953</v>
      </c>
      <c r="J104" s="184">
        <f t="shared" si="26"/>
        <v>-10034</v>
      </c>
      <c r="K104" s="184">
        <f t="shared" si="26"/>
        <v>-13101</v>
      </c>
      <c r="L104" s="184">
        <f t="shared" si="26"/>
        <v>-10810</v>
      </c>
    </row>
    <row r="106" spans="2:12" x14ac:dyDescent="0.3">
      <c r="B106" s="182" t="s">
        <v>197</v>
      </c>
      <c r="C106" s="184">
        <f t="shared" ref="C106:L106" si="27">IFERROR(C104+C94+C82,0)</f>
        <v>-202</v>
      </c>
      <c r="D106" s="184">
        <f t="shared" si="27"/>
        <v>21</v>
      </c>
      <c r="E106" s="184">
        <f t="shared" si="27"/>
        <v>-28</v>
      </c>
      <c r="F106" s="184">
        <f t="shared" si="27"/>
        <v>2595</v>
      </c>
      <c r="G106" s="184">
        <f t="shared" si="27"/>
        <v>-1374</v>
      </c>
      <c r="H106" s="184">
        <f t="shared" si="27"/>
        <v>-695</v>
      </c>
      <c r="I106" s="184">
        <f t="shared" si="27"/>
        <v>-446</v>
      </c>
      <c r="J106" s="184">
        <f t="shared" si="27"/>
        <v>111</v>
      </c>
      <c r="K106" s="184">
        <f t="shared" si="27"/>
        <v>5258</v>
      </c>
      <c r="L106" s="184">
        <f t="shared" si="27"/>
        <v>-3487</v>
      </c>
    </row>
  </sheetData>
  <mergeCells count="1">
    <mergeCell ref="B2:L2"/>
  </mergeCells>
  <pageMargins left="0.7" right="0.7" top="0.75" bottom="0.75" header="0.3" footer="0.3"/>
  <pageSetup scale="19" orientation="portrait" r:id="rId1"/>
  <ignoredErrors>
    <ignoredError sqref="C14:L14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A7A55-21D0-44A2-A8FE-31DE6CF1716B}">
  <dimension ref="B2:O41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2" sqref="B2:O2"/>
    </sheetView>
  </sheetViews>
  <sheetFormatPr defaultRowHeight="14.4" x14ac:dyDescent="0.3"/>
  <cols>
    <col min="1" max="1" width="1.88671875" style="82" customWidth="1"/>
    <col min="2" max="2" width="26.33203125" style="82" customWidth="1"/>
    <col min="3" max="3" width="11.44140625" style="82" customWidth="1"/>
    <col min="4" max="12" width="11" style="82" bestFit="1" customWidth="1"/>
    <col min="13" max="13" width="16.88671875" style="82" customWidth="1"/>
    <col min="14" max="14" width="10" style="82" bestFit="1" customWidth="1"/>
    <col min="15" max="15" width="9" style="82" bestFit="1" customWidth="1"/>
    <col min="16" max="16384" width="8.88671875" style="82"/>
  </cols>
  <sheetData>
    <row r="2" spans="2:15" x14ac:dyDescent="0.3">
      <c r="B2" s="195" t="str">
        <f>"Ratio Analysis - "&amp; 'Data Sheet'!B1</f>
        <v>Ratio Analysis - HINDUSTAN UNILEVER LTD</v>
      </c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</row>
    <row r="3" spans="2:15" x14ac:dyDescent="0.3">
      <c r="B3" s="89" t="s">
        <v>226</v>
      </c>
      <c r="C3" s="90">
        <f>'[1]Data Sheet'!B16</f>
        <v>42825</v>
      </c>
      <c r="D3" s="90">
        <f>'[1]Data Sheet'!C16</f>
        <v>43190</v>
      </c>
      <c r="E3" s="90">
        <f>'[1]Data Sheet'!D16</f>
        <v>43555</v>
      </c>
      <c r="F3" s="90">
        <f>'[1]Data Sheet'!E16</f>
        <v>43921</v>
      </c>
      <c r="G3" s="90">
        <f>'[1]Data Sheet'!F16</f>
        <v>44286</v>
      </c>
      <c r="H3" s="90">
        <f>'[1]Data Sheet'!G16</f>
        <v>44651</v>
      </c>
      <c r="I3" s="90">
        <f>'[1]Data Sheet'!H16</f>
        <v>45016</v>
      </c>
      <c r="J3" s="90">
        <f>'[1]Data Sheet'!I16</f>
        <v>45382</v>
      </c>
      <c r="K3" s="90">
        <f>'[1]Data Sheet'!J16</f>
        <v>45747</v>
      </c>
      <c r="L3" s="90">
        <f>'[1]Data Sheet'!K16</f>
        <v>46112</v>
      </c>
      <c r="M3" s="116" t="s">
        <v>292</v>
      </c>
      <c r="N3" s="89" t="s">
        <v>291</v>
      </c>
      <c r="O3" s="89" t="s">
        <v>18</v>
      </c>
    </row>
    <row r="4" spans="2:15" x14ac:dyDescent="0.3"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</row>
    <row r="5" spans="2:15" x14ac:dyDescent="0.3">
      <c r="B5" s="109" t="s">
        <v>290</v>
      </c>
      <c r="C5" s="104" t="s">
        <v>16</v>
      </c>
      <c r="D5" s="104">
        <f>IFERROR('Historical FS'!D6,0)</f>
        <v>7.1859357095470644E-2</v>
      </c>
      <c r="E5" s="104">
        <f>IFERROR('Historical FS'!E6,0)</f>
        <v>0.1059220706147137</v>
      </c>
      <c r="F5" s="104">
        <f>IFERROR('Historical FS'!F6,0)</f>
        <v>1.2032561689137689E-2</v>
      </c>
      <c r="G5" s="104">
        <f>IFERROR('Historical FS'!G6,0)</f>
        <v>0.18211296282331646</v>
      </c>
      <c r="H5" s="104">
        <f>IFERROR('Historical FS'!H6,0)</f>
        <v>0.11520796121459553</v>
      </c>
      <c r="I5" s="104">
        <f>IFERROR('Historical FS'!I6,0)</f>
        <v>0.15509285741524614</v>
      </c>
      <c r="J5" s="104">
        <f>IFERROR('Historical FS'!J6,0)</f>
        <v>2.1723341036645749E-2</v>
      </c>
      <c r="K5" s="104">
        <f>IFERROR('Historical FS'!K6,0)</f>
        <v>-9.1766834690448773E-3</v>
      </c>
      <c r="L5" s="104">
        <f>IFERROR('Historical FS'!L6,0)</f>
        <v>5.1200104356900589E-2</v>
      </c>
      <c r="N5" s="104">
        <f>IFERROR(AVERAGE(D5:L5),0)</f>
        <v>7.8441614752997962E-2</v>
      </c>
      <c r="O5" s="104">
        <f>IFERROR(MEDIAN(D5:L5),0)</f>
        <v>7.1859357095470644E-2</v>
      </c>
    </row>
    <row r="6" spans="2:15" x14ac:dyDescent="0.3">
      <c r="B6" s="109" t="s">
        <v>289</v>
      </c>
      <c r="C6" s="104"/>
      <c r="D6" s="104">
        <f>IFERROR('Historical FS'!D17/'Historical FS'!C17-1,0)</f>
        <v>0.17680809300921041</v>
      </c>
      <c r="E6" s="104">
        <f>IFERROR('Historical FS'!E17/'Historical FS'!D17-1,0)</f>
        <v>0.17885552989479092</v>
      </c>
      <c r="F6" s="104">
        <f>IFERROR('Historical FS'!F17/'Historical FS'!E17-1,0)</f>
        <v>0.10579016107966921</v>
      </c>
      <c r="G6" s="104">
        <f>IFERROR('Historical FS'!G17/'Historical FS'!F17-1,0)</f>
        <v>0.17765748031496065</v>
      </c>
      <c r="H6" s="104">
        <f>IFERROR('Historical FS'!H17/'Historical FS'!G17-1,0)</f>
        <v>0.10112829084830754</v>
      </c>
      <c r="I6" s="104">
        <f>IFERROR('Historical FS'!I17/'Historical FS'!H17-1,0)</f>
        <v>0.10292220113852002</v>
      </c>
      <c r="J6" s="104">
        <f>IFERROR('Historical FS'!J17/'Historical FS'!I17-1,0)</f>
        <v>3.9501754868900951E-2</v>
      </c>
      <c r="K6" s="104">
        <f>IFERROR('Historical FS'!K17/'Historical FS'!J17-1,0)</f>
        <v>-2.6481297583580421E-4</v>
      </c>
      <c r="L6" s="104">
        <f>IFERROR('Historical FS'!L17/'Historical FS'!K17-1,0)</f>
        <v>2.4104363949407404E-2</v>
      </c>
      <c r="N6" s="104">
        <f>IFERROR(AVERAGE(D6:L6),0)</f>
        <v>0.10072256245865903</v>
      </c>
      <c r="O6" s="104">
        <f>IFERROR(MEDIAN(D6:L6),0)</f>
        <v>0.10292220113852002</v>
      </c>
    </row>
    <row r="7" spans="2:15" x14ac:dyDescent="0.3">
      <c r="B7" s="109" t="s">
        <v>372</v>
      </c>
      <c r="C7" s="104"/>
      <c r="D7" s="104">
        <f>IFERROR('Historical FS'!D26/'Historical FS'!C26-1,0)</f>
        <v>0.17493135196252618</v>
      </c>
      <c r="E7" s="104">
        <f>IFERROR('Historical FS'!E26/'Historical FS'!D26-1,0)</f>
        <v>0.1854550453670607</v>
      </c>
      <c r="F7" s="104">
        <f>IFERROR('Historical FS'!F26/'Historical FS'!E26-1,0)</f>
        <v>6.2043372376203276E-2</v>
      </c>
      <c r="G7" s="104">
        <f>IFERROR('Historical FS'!G26/'Historical FS'!F26-1,0)</f>
        <v>0.18923345708670025</v>
      </c>
      <c r="H7" s="104">
        <f>IFERROR('Historical FS'!H26/'Historical FS'!G26-1,0)</f>
        <v>0.10953998714534929</v>
      </c>
      <c r="I7" s="104">
        <f>IFERROR('Historical FS'!I26/'Historical FS'!H26-1,0)</f>
        <v>0.10840781198278715</v>
      </c>
      <c r="J7" s="104">
        <f>IFERROR('Historical FS'!J26/'Historical FS'!I26-1,0)</f>
        <v>3.695684634911145E-2</v>
      </c>
      <c r="K7" s="104">
        <f>IFERROR('Historical FS'!K26/'Historical FS'!J26-1,0)</f>
        <v>-2.9519763841889812E-3</v>
      </c>
      <c r="L7" s="104">
        <f>IFERROR('Historical FS'!L26/'Historical FS'!K26-1,0)</f>
        <v>2.050837666088956E-2</v>
      </c>
      <c r="N7" s="104">
        <f>IFERROR(AVERAGE(D7:L7),0)</f>
        <v>9.8236030282937647E-2</v>
      </c>
      <c r="O7" s="104">
        <f>IFERROR(MEDIAN(D7:L7),0)</f>
        <v>0.10840781198278715</v>
      </c>
    </row>
    <row r="8" spans="2:15" x14ac:dyDescent="0.3">
      <c r="B8" s="109" t="s">
        <v>288</v>
      </c>
      <c r="C8" s="104"/>
      <c r="D8" s="104">
        <f>IFERROR('Historical FS'!D35/'Historical FS'!C35-1,0)</f>
        <v>0.2368987796123474</v>
      </c>
      <c r="E8" s="104">
        <f>IFERROR('Historical FS'!E35/'Historical FS'!D35-1,0)</f>
        <v>0.16966531243954353</v>
      </c>
      <c r="F8" s="104">
        <f>IFERROR('Historical FS'!F35/'Historical FS'!E35-1,0)</f>
        <v>9.6758187231227311E-2</v>
      </c>
      <c r="G8" s="104">
        <f>IFERROR('Historical FS'!G35/'Historical FS'!F35-1,0)</f>
        <v>0.23179007691147646</v>
      </c>
      <c r="H8" s="104">
        <f>IFERROR('Historical FS'!H35/'Historical FS'!G35-1,0)</f>
        <v>0.1007590597453476</v>
      </c>
      <c r="I8" s="104">
        <f>IFERROR('Historical FS'!I35/'Historical FS'!H35-1,0)</f>
        <v>0.12100989878767665</v>
      </c>
      <c r="J8" s="104">
        <f>IFERROR('Historical FS'!J35/'Historical FS'!I35-1,0)</f>
        <v>-1.6668320269868087E-2</v>
      </c>
      <c r="K8" s="104">
        <f>IFERROR('Historical FS'!K35/'Historical FS'!J35-1,0)</f>
        <v>-1.9372414488951661E-2</v>
      </c>
      <c r="L8" s="104">
        <f>IFERROR('Historical FS'!L35/'Historical FS'!K35-1,0)</f>
        <v>8.6737318654182438E-2</v>
      </c>
      <c r="N8" s="104">
        <f>IFERROR(AVERAGE(D8:L8),0)</f>
        <v>0.11195309984699797</v>
      </c>
      <c r="O8" s="104">
        <f>IFERROR(MEDIAN(D8:L8),0)</f>
        <v>0.1007590597453476</v>
      </c>
    </row>
    <row r="9" spans="2:15" x14ac:dyDescent="0.3">
      <c r="B9" s="109" t="s">
        <v>287</v>
      </c>
      <c r="C9" s="104"/>
      <c r="D9" s="104">
        <f>IFERROR('Historical FS'!D43/'Historical FS'!C43-1,0)</f>
        <v>0.17636188224423521</v>
      </c>
      <c r="E9" s="104">
        <f>IFERROR('Historical FS'!E43/'Historical FS'!D43-1,0)</f>
        <v>9.989836928904694E-2</v>
      </c>
      <c r="F9" s="104">
        <f>IFERROR('Historical FS'!F43/'Historical FS'!E43-1,0)</f>
        <v>0.13631114358664265</v>
      </c>
      <c r="G9" s="104">
        <f>IFERROR('Historical FS'!G43/'Historical FS'!F43-1,0)</f>
        <v>0.62387640449438186</v>
      </c>
      <c r="H9" s="104">
        <f>IFERROR('Historical FS'!H43/'Historical FS'!G43-1,0)</f>
        <v>-0.16049382716049365</v>
      </c>
      <c r="I9" s="104">
        <f>IFERROR('Historical FS'!I43/'Historical FS'!H43-1,0)</f>
        <v>0.14705882352941169</v>
      </c>
      <c r="J9" s="104">
        <f>IFERROR('Historical FS'!J43/'Historical FS'!I43-1,0)</f>
        <v>7.6923076923076872E-2</v>
      </c>
      <c r="K9" s="104">
        <f>IFERROR('Historical FS'!K43/'Historical FS'!J43-1,0)</f>
        <v>0.26190476190476186</v>
      </c>
      <c r="L9" s="104">
        <f>IFERROR('Historical FS'!L43/'Historical FS'!K43-1,0)</f>
        <v>-0.2264150943396227</v>
      </c>
      <c r="N9" s="104">
        <f>IFERROR(AVERAGE(D9:L9),0)</f>
        <v>0.12615839338571563</v>
      </c>
      <c r="O9" s="104">
        <f>IFERROR(MEDIAN(D9:L9),0)</f>
        <v>0.13631114358664265</v>
      </c>
    </row>
    <row r="10" spans="2:15" x14ac:dyDescent="0.3">
      <c r="B10" s="110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</row>
    <row r="11" spans="2:15" x14ac:dyDescent="0.3">
      <c r="B11" s="109" t="s">
        <v>286</v>
      </c>
      <c r="C11" s="104">
        <f>IFERROR('Historical FS'!C12,0)</f>
        <v>0.44575116096737227</v>
      </c>
      <c r="D11" s="104">
        <f>IFERROR('Historical FS'!D12,0)</f>
        <v>0.4649317766211844</v>
      </c>
      <c r="E11" s="104">
        <f>IFERROR('Historical FS'!E12,0)</f>
        <v>0.47155939964385651</v>
      </c>
      <c r="F11" s="104">
        <f>IFERROR('Historical FS'!F12,0)</f>
        <v>0.48935474951612495</v>
      </c>
      <c r="G11" s="104">
        <f>IFERROR('Historical FS'!G12,0)</f>
        <v>0.46920983244024839</v>
      </c>
      <c r="H11" s="104">
        <f>IFERROR('Historical FS'!H12,0)</f>
        <v>0.4518552415818175</v>
      </c>
      <c r="I11" s="104">
        <f>IFERROR('Historical FS'!I12,0)</f>
        <v>0.42230108946847145</v>
      </c>
      <c r="J11" s="104">
        <f>IFERROR('Historical FS'!J12,0)</f>
        <v>0.46353560811684114</v>
      </c>
      <c r="K11" s="104">
        <f>IFERROR('Historical FS'!K12,0)</f>
        <v>0.46001826245760502</v>
      </c>
      <c r="L11" s="104">
        <f>IFERROR('Historical FS'!L12,0)</f>
        <v>0.45386858596512997</v>
      </c>
      <c r="N11" s="104">
        <f>IFERROR(AVERAGE(C11:L11),0)</f>
        <v>0.45923857067786511</v>
      </c>
      <c r="O11" s="104">
        <f>IFERROR(MEDIAN(C11:L11),0)</f>
        <v>0.46177693528722308</v>
      </c>
    </row>
    <row r="12" spans="2:15" x14ac:dyDescent="0.3">
      <c r="B12" s="109" t="s">
        <v>285</v>
      </c>
      <c r="C12" s="104">
        <f>IFERROR('Historical FS'!C18,0)</f>
        <v>0.19971654303118028</v>
      </c>
      <c r="D12" s="104">
        <f>IFERROR('Historical FS'!D18,0)</f>
        <v>0.21927134618089744</v>
      </c>
      <c r="E12" s="104">
        <f>IFERROR('Historical FS'!E18,0)</f>
        <v>0.23373187484100738</v>
      </c>
      <c r="F12" s="104">
        <f>IFERROR('Historical FS'!F18,0)</f>
        <v>0.2553854661538848</v>
      </c>
      <c r="G12" s="104">
        <f>IFERROR('Historical FS'!G18,0)</f>
        <v>0.2544228969975334</v>
      </c>
      <c r="H12" s="104">
        <f>IFERROR('Historical FS'!H18,0)</f>
        <v>0.25121076917210083</v>
      </c>
      <c r="I12" s="104">
        <f>IFERROR('Historical FS'!I18,0)</f>
        <v>0.23986464179597228</v>
      </c>
      <c r="J12" s="104">
        <f>IFERROR('Historical FS'!J18,0)</f>
        <v>0.24403838697169444</v>
      </c>
      <c r="K12" s="104">
        <f>IFERROR('Historical FS'!K18,0)</f>
        <v>0.24623336811896687</v>
      </c>
      <c r="L12" s="104">
        <f>IFERROR('Historical FS'!L18,0)</f>
        <v>0.23988645529565056</v>
      </c>
      <c r="N12" s="104">
        <f>IFERROR(AVERAGE(C12:L12),0)</f>
        <v>0.23837617485588886</v>
      </c>
      <c r="O12" s="104">
        <f>IFERROR(MEDIAN(C12:L12),0)</f>
        <v>0.2419624211336725</v>
      </c>
    </row>
    <row r="13" spans="2:15" x14ac:dyDescent="0.3">
      <c r="B13" s="109" t="s">
        <v>284</v>
      </c>
      <c r="C13" s="104">
        <f>IFERROR('Historical FS'!C27,0)</f>
        <v>0.18668958446414571</v>
      </c>
      <c r="D13" s="104">
        <f>IFERROR('Historical FS'!D27,0)</f>
        <v>0.20464200309466873</v>
      </c>
      <c r="E13" s="104">
        <f>IFERROR('Historical FS'!E27,0)</f>
        <v>0.21935894174510304</v>
      </c>
      <c r="F13" s="104">
        <f>IFERROR('Historical FS'!F27,0)</f>
        <v>0.23019882864540131</v>
      </c>
      <c r="G13" s="104">
        <f>IFERROR('Historical FS'!G27,0)</f>
        <v>0.23158543846219273</v>
      </c>
      <c r="H13" s="104">
        <f>IFERROR('Historical FS'!H27,0)</f>
        <v>0.23040842008923465</v>
      </c>
      <c r="I13" s="104">
        <f>IFERROR('Historical FS'!I27,0)</f>
        <v>0.22109607131066358</v>
      </c>
      <c r="J13" s="104">
        <f>IFERROR('Historical FS'!J27,0)</f>
        <v>0.22439252940416182</v>
      </c>
      <c r="K13" s="104">
        <f>IFERROR('Historical FS'!K27,0)</f>
        <v>0.22580224367336291</v>
      </c>
      <c r="L13" s="104">
        <f>IFERROR('Historical FS'!L27,0)</f>
        <v>0.21920953030961096</v>
      </c>
      <c r="N13" s="104">
        <f>IFERROR(AVERAGE(C13:L13),0)</f>
        <v>0.21933835911985455</v>
      </c>
      <c r="O13" s="104">
        <f>IFERROR(MEDIAN(C13:L13),0)</f>
        <v>0.22274430035741272</v>
      </c>
    </row>
    <row r="14" spans="2:15" x14ac:dyDescent="0.3">
      <c r="B14" s="109" t="s">
        <v>283</v>
      </c>
      <c r="C14" s="104">
        <f>IFERROR('Historical FS'!C30,0)</f>
        <v>0.18563415958024246</v>
      </c>
      <c r="D14" s="104">
        <f>IFERROR('Historical FS'!D30,0)</f>
        <v>0.2039105359403573</v>
      </c>
      <c r="E14" s="104">
        <f>IFERROR('Historical FS'!E30,0)</f>
        <v>0.21851946069702366</v>
      </c>
      <c r="F14" s="104">
        <f>IFERROR('Historical FS'!F30,0)</f>
        <v>0.22723273760148807</v>
      </c>
      <c r="G14" s="104">
        <f>IFERROR('Historical FS'!G30,0)</f>
        <v>0.22909755890108022</v>
      </c>
      <c r="H14" s="104">
        <f>IFERROR('Historical FS'!H30,0)</f>
        <v>0.22838729359722382</v>
      </c>
      <c r="I14" s="104">
        <f>IFERROR('Historical FS'!I30,0)</f>
        <v>0.21921426213271708</v>
      </c>
      <c r="J14" s="104">
        <f>IFERROR('Historical FS'!J30,0)</f>
        <v>0.21899638102623756</v>
      </c>
      <c r="K14" s="104">
        <f>IFERROR('Historical FS'!K30,0)</f>
        <v>0.21958974693451605</v>
      </c>
      <c r="L14" s="104">
        <f>IFERROR('Historical FS'!L30,0)</f>
        <v>0.21284978594031148</v>
      </c>
      <c r="N14" s="104">
        <f>IFERROR(AVERAGE(C14:L14),0)</f>
        <v>0.21634319223511977</v>
      </c>
      <c r="O14" s="104">
        <f>IFERROR(MEDIAN(C14:L14),0)</f>
        <v>0.21910532157947732</v>
      </c>
    </row>
    <row r="15" spans="2:15" x14ac:dyDescent="0.3">
      <c r="B15" s="109" t="s">
        <v>282</v>
      </c>
      <c r="C15" s="104">
        <f>IFERROR('Historical FS'!C36,0)</f>
        <v>0.12601773113804957</v>
      </c>
      <c r="D15" s="104">
        <f>IFERROR('Historical FS'!D36,0)</f>
        <v>0.14542129694753131</v>
      </c>
      <c r="E15" s="104">
        <f>IFERROR('Historical FS'!E36,0)</f>
        <v>0.15380310353599594</v>
      </c>
      <c r="F15" s="104">
        <f>IFERROR('Historical FS'!F36,0)</f>
        <v>0.16667923484905614</v>
      </c>
      <c r="G15" s="104">
        <f>IFERROR('Historical FS'!G36,0)</f>
        <v>0.17368376286467635</v>
      </c>
      <c r="H15" s="104">
        <f>IFERROR('Historical FS'!H36,0)</f>
        <v>0.17143347443084314</v>
      </c>
      <c r="I15" s="104">
        <f>IFERROR('Historical FS'!I36,0)</f>
        <v>0.16637504126774513</v>
      </c>
      <c r="J15" s="104">
        <f>IFERROR('Historical FS'!J36,0)</f>
        <v>0.1601234328551118</v>
      </c>
      <c r="K15" s="104">
        <f>IFERROR('Historical FS'!K36,0)</f>
        <v>0.15847573702061049</v>
      </c>
      <c r="L15" s="104">
        <f>IFERROR('Historical FS'!L36,0)</f>
        <v>0.16383321958180802</v>
      </c>
      <c r="N15" s="104">
        <f>IFERROR(AVERAGE(C15:L15),0)</f>
        <v>0.15858460344914277</v>
      </c>
      <c r="O15" s="104">
        <f>IFERROR(MEDIAN(C15:L15),0)</f>
        <v>0.16197832621845992</v>
      </c>
    </row>
    <row r="16" spans="2:15" x14ac:dyDescent="0.3">
      <c r="B16" s="110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</row>
    <row r="17" spans="2:15" x14ac:dyDescent="0.3">
      <c r="B17" s="109" t="s">
        <v>281</v>
      </c>
      <c r="C17" s="104">
        <f>IFERROR('Historical FS'!C15,0)</f>
        <v>0.24603461793619202</v>
      </c>
      <c r="D17" s="104">
        <f>IFERROR('Historical FS'!D15,0)</f>
        <v>0.24566043044028696</v>
      </c>
      <c r="E17" s="104">
        <f>IFERROR('Historical FS'!E15,0)</f>
        <v>0.23782752480284916</v>
      </c>
      <c r="F17" s="104">
        <f>IFERROR('Historical FS'!F15,0)</f>
        <v>0.23396928336224015</v>
      </c>
      <c r="G17" s="104">
        <f>IFERROR('Historical FS'!G15,0)</f>
        <v>0.21478693544271499</v>
      </c>
      <c r="H17" s="104">
        <f>IFERROR('Historical FS'!H15,0)</f>
        <v>0.20064447240971667</v>
      </c>
      <c r="I17" s="104">
        <f>IFERROR('Historical FS'!I15,0)</f>
        <v>0.18243644767249917</v>
      </c>
      <c r="J17" s="104">
        <f>IFERROR('Historical FS'!J15,0)</f>
        <v>0.21949722114514669</v>
      </c>
      <c r="K17" s="104">
        <f>IFERROR('Historical FS'!K15,0)</f>
        <v>0.21378489433863815</v>
      </c>
      <c r="L17" s="104">
        <f>IFERROR('Historical FS'!L15,0)</f>
        <v>0.21398213066947944</v>
      </c>
      <c r="N17" s="104">
        <f>IFERROR(AVERAGE(C17:L17),0)</f>
        <v>0.22086239582197634</v>
      </c>
      <c r="O17" s="104">
        <f>IFERROR(MEDIAN(C17:L17),0)</f>
        <v>0.21714207829393084</v>
      </c>
    </row>
    <row r="18" spans="2:15" x14ac:dyDescent="0.3">
      <c r="B18" s="109" t="s">
        <v>280</v>
      </c>
      <c r="C18" s="104">
        <f>IFERROR('Historical FS'!C24,0)</f>
        <v>1.3026958567034558E-2</v>
      </c>
      <c r="D18" s="104">
        <f>IFERROR('Historical FS'!D24,0)</f>
        <v>1.4629343086228723E-2</v>
      </c>
      <c r="E18" s="104">
        <f>IFERROR('Historical FS'!E24,0)</f>
        <v>1.437293309590435E-2</v>
      </c>
      <c r="F18" s="104">
        <f>IFERROR('Historical FS'!F24,0)</f>
        <v>2.5186637508483524E-2</v>
      </c>
      <c r="G18" s="104">
        <f>IFERROR('Historical FS'!G24,0)</f>
        <v>2.2837458535340648E-2</v>
      </c>
      <c r="H18" s="104">
        <f>IFERROR('Historical FS'!H24,0)</f>
        <v>2.0802349082866187E-2</v>
      </c>
      <c r="I18" s="104">
        <f>IFERROR('Historical FS'!I24,0)</f>
        <v>1.8768570485308684E-2</v>
      </c>
      <c r="J18" s="104">
        <f>IFERROR('Historical FS'!J24,0)</f>
        <v>1.9645857567532635E-2</v>
      </c>
      <c r="K18" s="104">
        <f>IFERROR('Historical FS'!K24,0)</f>
        <v>2.0431124445603965E-2</v>
      </c>
      <c r="L18" s="104">
        <f>IFERROR('Historical FS'!L24,0)</f>
        <v>2.0676924986039586E-2</v>
      </c>
      <c r="N18" s="104">
        <f>IFERROR(AVERAGE(C18:L18),0)</f>
        <v>1.9037815736034289E-2</v>
      </c>
      <c r="O18" s="104">
        <f>IFERROR(MEDIAN(C18:L18),0)</f>
        <v>2.00384910065683E-2</v>
      </c>
    </row>
    <row r="19" spans="2:15" x14ac:dyDescent="0.3">
      <c r="B19" s="109" t="s">
        <v>279</v>
      </c>
      <c r="C19" s="104">
        <f t="shared" ref="C19:L19" si="0">C13</f>
        <v>0.18668958446414571</v>
      </c>
      <c r="D19" s="104">
        <f t="shared" si="0"/>
        <v>0.20464200309466873</v>
      </c>
      <c r="E19" s="104">
        <f t="shared" si="0"/>
        <v>0.21935894174510304</v>
      </c>
      <c r="F19" s="104">
        <f t="shared" si="0"/>
        <v>0.23019882864540131</v>
      </c>
      <c r="G19" s="104">
        <f t="shared" si="0"/>
        <v>0.23158543846219273</v>
      </c>
      <c r="H19" s="104">
        <f t="shared" si="0"/>
        <v>0.23040842008923465</v>
      </c>
      <c r="I19" s="104">
        <f t="shared" si="0"/>
        <v>0.22109607131066358</v>
      </c>
      <c r="J19" s="104">
        <f t="shared" si="0"/>
        <v>0.22439252940416182</v>
      </c>
      <c r="K19" s="104">
        <f t="shared" si="0"/>
        <v>0.22580224367336291</v>
      </c>
      <c r="L19" s="104">
        <f t="shared" si="0"/>
        <v>0.21920953030961096</v>
      </c>
      <c r="N19" s="104">
        <f>IFERROR(AVERAGE(C19:L19),0)</f>
        <v>0.21933835911985455</v>
      </c>
      <c r="O19" s="104">
        <f>IFERROR(MEDIAN(C19:L19),0)</f>
        <v>0.22274430035741272</v>
      </c>
    </row>
    <row r="20" spans="2:15" x14ac:dyDescent="0.3">
      <c r="B20" s="110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</row>
    <row r="21" spans="2:15" x14ac:dyDescent="0.3">
      <c r="B21" s="109" t="s">
        <v>278</v>
      </c>
      <c r="C21" s="104">
        <f>IFERROR('Historical FS'!C26/SUM('Historical FS'!C49:C51),0)</f>
        <v>0.88178322176328161</v>
      </c>
      <c r="D21" s="104">
        <f>IFERROR('Historical FS'!D26/SUM('Historical FS'!D49:D51),0)</f>
        <v>0.9990385935997802</v>
      </c>
      <c r="E21" s="104">
        <f>IFERROR('Historical FS'!E26/SUM('Historical FS'!E49:E51),0)</f>
        <v>1.0824755209640975</v>
      </c>
      <c r="F21" s="104">
        <f>IFERROR('Historical FS'!F26/SUM('Historical FS'!F49:F51),0)</f>
        <v>1.1128934256896341</v>
      </c>
      <c r="G21" s="104">
        <f>IFERROR('Historical FS'!G26/SUM('Historical FS'!G49:G51),0)</f>
        <v>0.2284473717330201</v>
      </c>
      <c r="H21" s="104">
        <f>IFERROR('Historical FS'!H26/SUM('Historical FS'!H49:H51),0)</f>
        <v>0.24117834903400925</v>
      </c>
      <c r="I21" s="104">
        <f>IFERROR('Historical FS'!I26/SUM('Historical FS'!I49:I51),0)</f>
        <v>0.25996157056072045</v>
      </c>
      <c r="J21" s="104">
        <f>IFERROR('Historical FS'!J26/SUM('Historical FS'!J49:J51),0)</f>
        <v>0.26353838564001364</v>
      </c>
      <c r="K21" s="104">
        <f>IFERROR('Historical FS'!K26/SUM('Historical FS'!K49:K51),0)</f>
        <v>0.27126346718903038</v>
      </c>
      <c r="L21" s="104">
        <f>IFERROR('Historical FS'!L26/SUM('Historical FS'!L49:L51),0)</f>
        <v>0.28141864308899378</v>
      </c>
      <c r="N21" s="82">
        <f>IFERROR(AVERAGE(C21:L21),0)</f>
        <v>0.56219985492625812</v>
      </c>
      <c r="O21" s="82">
        <f>IFERROR(MEDIAN(C21:L21),0)</f>
        <v>0.27634105513901208</v>
      </c>
    </row>
    <row r="22" spans="2:15" x14ac:dyDescent="0.3">
      <c r="B22" s="109" t="s">
        <v>277</v>
      </c>
      <c r="C22" s="115">
        <f>IFERROR('Historical FS'!C46,0)</f>
        <v>0.12132089016511116</v>
      </c>
      <c r="D22" s="115">
        <f>IFERROR('Historical FS'!D46,0)</f>
        <v>0.16424840394660478</v>
      </c>
      <c r="E22" s="115">
        <f>IFERROR('Historical FS'!E46,0)</f>
        <v>0.21402580218326173</v>
      </c>
      <c r="F22" s="115">
        <f>IFERROR('Historical FS'!F46,0)</f>
        <v>0.18564319107223648</v>
      </c>
      <c r="G22" s="115">
        <f>IFERROR('Historical FS'!G46,0)</f>
        <v>0</v>
      </c>
      <c r="H22" s="115">
        <f>IFERROR('Historical FS'!H46,0)</f>
        <v>0.11133355577800019</v>
      </c>
      <c r="I22" s="115">
        <f>IFERROR('Historical FS'!I46,0)</f>
        <v>9.0683599563448625E-2</v>
      </c>
      <c r="J22" s="115">
        <f>IFERROR('Historical FS'!J46,0)</f>
        <v>4.1368176773282084E-3</v>
      </c>
      <c r="K22" s="115">
        <f>IFERROR('Historical FS'!K46,0)</f>
        <v>0</v>
      </c>
      <c r="L22" s="115">
        <f>IFERROR('Historical FS'!L46,0)</f>
        <v>8.7767468282522243E-2</v>
      </c>
      <c r="N22" s="104">
        <f>IFERROR(AVERAGE(C22:L22),0)</f>
        <v>9.7915972866851345E-2</v>
      </c>
      <c r="O22" s="104">
        <f>IFERROR(MEDIAN(C22:L22),0)</f>
        <v>0.10100857767072441</v>
      </c>
    </row>
    <row r="23" spans="2:15" x14ac:dyDescent="0.3">
      <c r="B23" s="109" t="s">
        <v>276</v>
      </c>
      <c r="C23" s="104">
        <f>IFERROR('Historical FS'!C35/SUM('Historical FS'!C49:C50),0)</f>
        <v>0.61966192170818502</v>
      </c>
      <c r="D23" s="104">
        <f>IFERROR('Historical FS'!D35/SUM('Historical FS'!D49:D50),0)</f>
        <v>0.7099299546765554</v>
      </c>
      <c r="E23" s="104">
        <f>IFERROR('Historical FS'!E35/SUM('Historical FS'!E49:E50),0)</f>
        <v>0.76852675734079068</v>
      </c>
      <c r="F23" s="104">
        <f>IFERROR('Historical FS'!F35/SUM('Historical FS'!F49:F50),0)</f>
        <v>0.80580872524000491</v>
      </c>
      <c r="G23" s="104">
        <f>IFERROR('Historical FS'!G35/SUM('Historical FS'!G49:G50),0)</f>
        <v>0.17133028485128163</v>
      </c>
      <c r="H23" s="104">
        <f>IFERROR('Historical FS'!H35/SUM('Historical FS'!H49:H50),0)</f>
        <v>0.18326165385948107</v>
      </c>
      <c r="I23" s="104">
        <f>IFERROR('Historical FS'!I35/SUM('Historical FS'!I49:I50),0)</f>
        <v>0.20036180025445294</v>
      </c>
      <c r="J23" s="104">
        <f>IFERROR('Historical FS'!J35/SUM('Historical FS'!J49:J50),0)</f>
        <v>0.19350618923034871</v>
      </c>
      <c r="K23" s="104">
        <f>IFERROR('Historical FS'!K35/SUM('Historical FS'!K49:K50),0)</f>
        <v>0.19673292579247803</v>
      </c>
      <c r="L23" s="104">
        <f>IFERROR('Historical FS'!L35/SUM('Historical FS'!L49:L50),0)</f>
        <v>0.21670530786433861</v>
      </c>
      <c r="N23" s="104">
        <f>IFERROR(AVERAGE(C23:L23),0)</f>
        <v>0.40658255208179173</v>
      </c>
      <c r="O23" s="104">
        <f>IFERROR(MEDIAN(C23:L23),0)</f>
        <v>0.20853355405939578</v>
      </c>
    </row>
    <row r="24" spans="2:15" x14ac:dyDescent="0.3">
      <c r="B24" s="109" t="s">
        <v>275</v>
      </c>
      <c r="C24" s="104">
        <f>IFERROR(C22*C23,0)</f>
        <v>7.5177935943060423E-2</v>
      </c>
      <c r="D24" s="104">
        <f t="shared" ref="D24:L24" si="1">IFERROR(D22*D23,0)</f>
        <v>0.1166048619695097</v>
      </c>
      <c r="E24" s="104">
        <f t="shared" si="1"/>
        <v>0.16448455573916365</v>
      </c>
      <c r="F24" s="104">
        <f t="shared" si="1"/>
        <v>0.14959290314740553</v>
      </c>
      <c r="G24" s="104">
        <f t="shared" si="1"/>
        <v>0</v>
      </c>
      <c r="H24" s="104">
        <f t="shared" si="1"/>
        <v>2.0403171561933098E-2</v>
      </c>
      <c r="I24" s="104">
        <f t="shared" si="1"/>
        <v>1.8169529262086488E-2</v>
      </c>
      <c r="J24" s="104">
        <f t="shared" si="1"/>
        <v>8.0049982428052392E-4</v>
      </c>
      <c r="K24" s="104">
        <f t="shared" si="1"/>
        <v>0</v>
      </c>
      <c r="L24" s="104">
        <f t="shared" si="1"/>
        <v>1.9019676234637559E-2</v>
      </c>
      <c r="N24" s="104">
        <f>IFERROR(AVERAGE(C24:L24),0)</f>
        <v>5.6425313368207684E-2</v>
      </c>
      <c r="O24" s="104">
        <f>IFERROR(MEDIAN(C24:L24),0)</f>
        <v>1.9711423898285327E-2</v>
      </c>
    </row>
    <row r="25" spans="2:15" x14ac:dyDescent="0.3">
      <c r="B25" s="109" t="s">
        <v>274</v>
      </c>
      <c r="C25" s="114">
        <f>IFERROR('Historical FS'!C26/'Historical FS'!C20,0)</f>
        <v>176.88571428571427</v>
      </c>
      <c r="D25" s="114">
        <f>IFERROR('Historical FS'!D26/'Historical FS'!D20,0)</f>
        <v>279.76923076923077</v>
      </c>
      <c r="E25" s="114">
        <f>IFERROR('Historical FS'!E26/'Historical FS'!E20,0)</f>
        <v>261.30303030303031</v>
      </c>
      <c r="F25" s="114">
        <f>IFERROR('Historical FS'!F26/'Historical FS'!F20,0)</f>
        <v>77.610169491525426</v>
      </c>
      <c r="G25" s="114">
        <f>IFERROR('Historical FS'!G26/'Historical FS'!G20,0)</f>
        <v>93.085470085470092</v>
      </c>
      <c r="H25" s="114">
        <f>IFERROR('Historical FS'!H26/'Historical FS'!H20,0)</f>
        <v>114</v>
      </c>
      <c r="I25" s="114">
        <f>IFERROR('Historical FS'!I26/'Historical FS'!I20,0)</f>
        <v>117.49122807017544</v>
      </c>
      <c r="J25" s="114">
        <f>IFERROR('Historical FS'!J26/'Historical FS'!J20,0)</f>
        <v>41.58383233532934</v>
      </c>
      <c r="K25" s="114">
        <f>IFERROR('Historical FS'!K26/'Historical FS'!K20,0)</f>
        <v>36.346456692913385</v>
      </c>
      <c r="L25" s="114">
        <f>IFERROR('Historical FS'!L26/'Historical FS'!L20,0)</f>
        <v>34.46829268292683</v>
      </c>
      <c r="N25" s="114">
        <f>IFERROR(AVERAGE(C25:L25),0)</f>
        <v>123.25434247163157</v>
      </c>
      <c r="O25" s="114">
        <f>IFERROR(MEDIAN(C25:L25),0)</f>
        <v>103.54273504273505</v>
      </c>
    </row>
    <row r="26" spans="2:15" x14ac:dyDescent="0.3">
      <c r="B26" s="110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</row>
    <row r="27" spans="2:15" x14ac:dyDescent="0.3">
      <c r="B27" s="109" t="s">
        <v>273</v>
      </c>
      <c r="C27" s="114">
        <f>IFERROR('Historical FS'!C5/'Historical FS'!C61,0)</f>
        <v>30.56405529953917</v>
      </c>
      <c r="D27" s="114">
        <f>IFERROR('Historical FS'!D5/'Historical FS'!D61,0)</f>
        <v>27.133587786259543</v>
      </c>
      <c r="E27" s="114">
        <f>IFERROR('Historical FS'!E5/'Historical FS'!E61,0)</f>
        <v>21.646475770925111</v>
      </c>
      <c r="F27" s="114">
        <f>IFERROR('Historical FS'!F5/'Historical FS'!F61,0)</f>
        <v>34.624020887728463</v>
      </c>
      <c r="G27" s="114">
        <f>IFERROR('Historical FS'!G5/'Historical FS'!G61,0)</f>
        <v>26.750853242320819</v>
      </c>
      <c r="H27" s="114">
        <f>IFERROR('Historical FS'!H5/'Historical FS'!H61,0)</f>
        <v>23.455277280858677</v>
      </c>
      <c r="I27" s="114">
        <f>IFERROR('Historical FS'!I5/'Historical FS'!I61,0)</f>
        <v>19.67521922702176</v>
      </c>
      <c r="J27" s="114">
        <f>IFERROR('Historical FS'!J5/'Historical FS'!J61,0)</f>
        <v>20.652652652652652</v>
      </c>
      <c r="K27" s="114">
        <f>IFERROR('Historical FS'!K5/'Historical FS'!K61,0)</f>
        <v>16.058654097931395</v>
      </c>
      <c r="L27" s="114">
        <f>IFERROR('Historical FS'!L5/'Historical FS'!L61,0)</f>
        <v>19.079017460787217</v>
      </c>
      <c r="N27" s="114">
        <f>IFERROR(AVERAGE(C27:L27),0)</f>
        <v>23.963981370602479</v>
      </c>
      <c r="O27" s="114">
        <f>IFERROR(MEDIAN(C27:L27),0)</f>
        <v>22.550876525891894</v>
      </c>
    </row>
    <row r="28" spans="2:15" x14ac:dyDescent="0.3">
      <c r="B28" s="109" t="s">
        <v>272</v>
      </c>
      <c r="C28" s="114">
        <f>IFERROR('Historical FS'!C5/'Historical FS'!C52,0)</f>
        <v>3.818307426597582</v>
      </c>
      <c r="D28" s="114">
        <f>IFERROR('Historical FS'!D5/'Historical FS'!D52,0)</f>
        <v>3.3593233153766184</v>
      </c>
      <c r="E28" s="114">
        <f>IFERROR('Historical FS'!E5/'Historical FS'!E52,0)</f>
        <v>3.6865797617931162</v>
      </c>
      <c r="F28" s="114">
        <f>IFERROR('Historical FS'!F5/'Historical FS'!F52,0)</f>
        <v>3.3363804092586382</v>
      </c>
      <c r="G28" s="114">
        <f>IFERROR('Historical FS'!G5/'Historical FS'!G52,0)</f>
        <v>2.2324124181144973</v>
      </c>
      <c r="H28" s="114">
        <f>IFERROR('Historical FS'!H5/'Historical FS'!H52,0)</f>
        <v>2.5706303303597688</v>
      </c>
      <c r="I28" s="114">
        <f>IFERROR('Historical FS'!I5/'Historical FS'!I52,0)</f>
        <v>2.8106151990349817</v>
      </c>
      <c r="J28" s="114">
        <f>IFERROR('Historical FS'!J5/'Historical FS'!J52,0)</f>
        <v>2.4002792104548805</v>
      </c>
      <c r="K28" s="114">
        <f>IFERROR('Historical FS'!K5/'Historical FS'!K52,0)</f>
        <v>2.1284836705653696</v>
      </c>
      <c r="L28" s="114">
        <f>IFERROR('Historical FS'!L5/'Historical FS'!L52,0)</f>
        <v>2.1838013617424883</v>
      </c>
      <c r="N28" s="114">
        <f>IFERROR(AVERAGE(C28:L28),0)</f>
        <v>2.8526813103297939</v>
      </c>
      <c r="O28" s="114">
        <f>IFERROR(MEDIAN(C28:L28),0)</f>
        <v>2.690622764697375</v>
      </c>
    </row>
    <row r="29" spans="2:15" x14ac:dyDescent="0.3">
      <c r="B29" s="109" t="s">
        <v>271</v>
      </c>
      <c r="C29" s="114">
        <f>IFERROR('Historical FS'!C5/'Historical FS'!C62,0)</f>
        <v>13.050767414403778</v>
      </c>
      <c r="D29" s="114">
        <f>IFERROR('Historical FS'!D5/'Historical FS'!D62,0)</f>
        <v>14.144448865897333</v>
      </c>
      <c r="E29" s="114">
        <f>IFERROR('Historical FS'!E5/'Historical FS'!E62,0)</f>
        <v>15.271950271950272</v>
      </c>
      <c r="F29" s="114">
        <f>IFERROR('Historical FS'!F5/'Historical FS'!F62,0)</f>
        <v>14.377665341525118</v>
      </c>
      <c r="G29" s="114">
        <f>IFERROR('Historical FS'!G5/'Historical FS'!G62,0)</f>
        <v>13.139983235540655</v>
      </c>
      <c r="H29" s="114">
        <f>IFERROR('Historical FS'!H5/'Historical FS'!H62,0)</f>
        <v>12.80419921875</v>
      </c>
      <c r="I29" s="114">
        <f>IFERROR('Historical FS'!I5/'Historical FS'!I62,0)</f>
        <v>14.250764525993883</v>
      </c>
      <c r="J29" s="114">
        <f>IFERROR('Historical FS'!J5/'Historical FS'!J62,0)</f>
        <v>15.389358528095475</v>
      </c>
      <c r="K29" s="114">
        <f>IFERROR('Historical FS'!K5/'Historical FS'!K62,0)</f>
        <v>13.890826727066818</v>
      </c>
      <c r="L29" s="114">
        <f>IFERROR('Historical FS'!L5/'Historical FS'!L62,0)</f>
        <v>13.461683023595739</v>
      </c>
      <c r="N29" s="114">
        <f>IFERROR(AVERAGE(C29:L29),0)</f>
        <v>13.978164715281906</v>
      </c>
      <c r="O29" s="114">
        <f>IFERROR(MEDIAN(C29:L29),0)</f>
        <v>14.017637796482076</v>
      </c>
    </row>
    <row r="30" spans="2:15" x14ac:dyDescent="0.3">
      <c r="B30" s="109" t="s">
        <v>270</v>
      </c>
      <c r="C30" s="114">
        <f>IFERROR('Historical FS'!C5/'Historical FS'!C55,0)</f>
        <v>7.5044127630685677</v>
      </c>
      <c r="D30" s="114">
        <f>IFERROR('Historical FS'!D5/'Historical FS'!D55,0)</f>
        <v>7.8500441696113077</v>
      </c>
      <c r="E30" s="114">
        <f>IFERROR('Historical FS'!E5/'Historical FS'!E55,0)</f>
        <v>8.3372216330858961</v>
      </c>
      <c r="F30" s="114">
        <f>IFERROR('Historical FS'!F5/'Historical FS'!F55,0)</f>
        <v>7.2609965322139081</v>
      </c>
      <c r="G30" s="114">
        <f>IFERROR('Historical FS'!G5/'Historical FS'!G55,0)</f>
        <v>0.91417685593763975</v>
      </c>
      <c r="H30" s="114">
        <f>IFERROR('Historical FS'!H5/'Historical FS'!H55,0)</f>
        <v>1.018903114254075</v>
      </c>
      <c r="I30" s="114">
        <f>IFERROR('Historical FS'!I5/'Historical FS'!I55,0)</f>
        <v>1.1500056949770303</v>
      </c>
      <c r="J30" s="114">
        <f>IFERROR('Historical FS'!J5/'Historical FS'!J55,0)</f>
        <v>1.1516820482286394</v>
      </c>
      <c r="K30" s="114">
        <f>IFERROR('Historical FS'!K5/'Historical FS'!K55,0)</f>
        <v>1.1287015735713628</v>
      </c>
      <c r="L30" s="114">
        <f>IFERROR('Historical FS'!L5/'Historical FS'!L55,0)</f>
        <v>1.1225882844605419</v>
      </c>
      <c r="N30" s="114">
        <f>IFERROR(AVERAGE(C30:L30),0)</f>
        <v>3.7438732669408963</v>
      </c>
      <c r="O30" s="114">
        <f>IFERROR(MEDIAN(C30:L30),0)</f>
        <v>1.1508438716028349</v>
      </c>
    </row>
    <row r="31" spans="2:15" x14ac:dyDescent="0.3">
      <c r="B31" s="109" t="s">
        <v>269</v>
      </c>
      <c r="C31" s="114">
        <f>IFERROR('Historical FS'!C5/SUM('Historical FS'!C49:C50),0)</f>
        <v>4.9172597864768681</v>
      </c>
      <c r="D31" s="114">
        <f>IFERROR('Historical FS'!D5/SUM('Historical FS'!D49:D50),0)</f>
        <v>4.8818843565444308</v>
      </c>
      <c r="E31" s="114">
        <f>IFERROR('Historical FS'!E5/SUM('Historical FS'!E49:E50),0)</f>
        <v>4.9968221685521801</v>
      </c>
      <c r="F31" s="114">
        <f>IFERROR('Historical FS'!F5/SUM('Historical FS'!F49:F50),0)</f>
        <v>4.8344877870944218</v>
      </c>
      <c r="G31" s="114">
        <f>IFERROR('Historical FS'!G5/SUM('Historical FS'!G49:G50),0)</f>
        <v>0.98644963711876499</v>
      </c>
      <c r="H31" s="114">
        <f>IFERROR('Historical FS'!H5/SUM('Historical FS'!H49:H50),0)</f>
        <v>1.0689957399971464</v>
      </c>
      <c r="I31" s="114">
        <f>IFERROR('Historical FS'!I5/SUM('Historical FS'!I49:I50),0)</f>
        <v>1.2042779898218829</v>
      </c>
      <c r="J31" s="114">
        <f>IFERROR('Historical FS'!J5/SUM('Historical FS'!J49:J50),0)</f>
        <v>1.2084813932601819</v>
      </c>
      <c r="K31" s="114">
        <f>IFERROR('Historical FS'!K5/SUM('Historical FS'!K49:K50),0)</f>
        <v>1.2414072304764989</v>
      </c>
      <c r="L31" s="114">
        <f>IFERROR('Historical FS'!L5/SUM('Historical FS'!L49:L50),0)</f>
        <v>1.3227189724860995</v>
      </c>
      <c r="N31" s="114">
        <f>IFERROR(AVERAGE(C31:L31),0)</f>
        <v>2.6662785061828473</v>
      </c>
      <c r="O31" s="114">
        <f>IFERROR(MEDIAN(C31:L31),0)</f>
        <v>1.2820631014812993</v>
      </c>
    </row>
    <row r="32" spans="2:15" x14ac:dyDescent="0.3">
      <c r="B32" s="113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07"/>
      <c r="N32" s="107"/>
      <c r="O32" s="107"/>
    </row>
    <row r="33" spans="2:15" x14ac:dyDescent="0.3">
      <c r="B33" s="109" t="s">
        <v>268</v>
      </c>
      <c r="C33" s="111">
        <f>365/C27</f>
        <v>11.942132561365419</v>
      </c>
      <c r="D33" s="111">
        <f t="shared" ref="D33:L33" si="2">365/D27</f>
        <v>13.4519623013082</v>
      </c>
      <c r="E33" s="111">
        <f t="shared" si="2"/>
        <v>16.861867209361485</v>
      </c>
      <c r="F33" s="111">
        <f t="shared" si="2"/>
        <v>10.541814342809742</v>
      </c>
      <c r="G33" s="111">
        <f t="shared" si="2"/>
        <v>13.644424598111764</v>
      </c>
      <c r="H33" s="111">
        <f t="shared" si="2"/>
        <v>15.561529954619989</v>
      </c>
      <c r="I33" s="111">
        <f t="shared" si="2"/>
        <v>18.551254539451964</v>
      </c>
      <c r="J33" s="111">
        <f t="shared" si="2"/>
        <v>17.673274525009695</v>
      </c>
      <c r="K33" s="111">
        <f t="shared" si="2"/>
        <v>22.729177537177147</v>
      </c>
      <c r="L33" s="111">
        <f t="shared" si="2"/>
        <v>19.13096419929267</v>
      </c>
      <c r="N33" s="111">
        <f>IFERROR(AVERAGE(C33:L33),0)</f>
        <v>16.008840176850807</v>
      </c>
      <c r="O33" s="111">
        <f>IFERROR(MEDIAN(C33:L33),0)</f>
        <v>16.211698581990738</v>
      </c>
    </row>
    <row r="34" spans="2:15" x14ac:dyDescent="0.3">
      <c r="B34" s="109" t="s">
        <v>267</v>
      </c>
      <c r="C34" s="111">
        <f>365/C28</f>
        <v>95.592093359869736</v>
      </c>
      <c r="D34" s="111">
        <f t="shared" ref="D34:L34" si="3">365/D28</f>
        <v>108.65283443522296</v>
      </c>
      <c r="E34" s="111">
        <f t="shared" si="3"/>
        <v>99.007758839989833</v>
      </c>
      <c r="F34" s="111">
        <f t="shared" si="3"/>
        <v>109.39999497272704</v>
      </c>
      <c r="G34" s="111">
        <f t="shared" si="3"/>
        <v>163.50025516713447</v>
      </c>
      <c r="H34" s="111">
        <f t="shared" si="3"/>
        <v>141.98852152690384</v>
      </c>
      <c r="I34" s="111">
        <f t="shared" si="3"/>
        <v>129.86480686695279</v>
      </c>
      <c r="J34" s="111">
        <f t="shared" si="3"/>
        <v>152.06564236784283</v>
      </c>
      <c r="K34" s="111">
        <f t="shared" si="3"/>
        <v>171.48358009392123</v>
      </c>
      <c r="L34" s="111">
        <f t="shared" si="3"/>
        <v>167.13974374883665</v>
      </c>
      <c r="N34" s="111">
        <f>IFERROR(AVERAGE(C34:L34),0)</f>
        <v>133.86952313794015</v>
      </c>
      <c r="O34" s="111">
        <f>IFERROR(MEDIAN(C34:L34),0)</f>
        <v>135.9266641969283</v>
      </c>
    </row>
    <row r="35" spans="2:15" x14ac:dyDescent="0.3">
      <c r="B35" s="109" t="s">
        <v>266</v>
      </c>
      <c r="C35" s="111">
        <f>365/C29</f>
        <v>27.967703998552562</v>
      </c>
      <c r="D35" s="111">
        <f t="shared" ref="D35:L35" si="4">365/D29</f>
        <v>25.805176536784359</v>
      </c>
      <c r="E35" s="111">
        <f t="shared" si="4"/>
        <v>23.90002543881964</v>
      </c>
      <c r="F35" s="111">
        <f t="shared" si="4"/>
        <v>25.386597290299875</v>
      </c>
      <c r="G35" s="111">
        <f t="shared" si="4"/>
        <v>27.777813217657563</v>
      </c>
      <c r="H35" s="111">
        <f t="shared" si="4"/>
        <v>28.506273119017656</v>
      </c>
      <c r="I35" s="111">
        <f t="shared" si="4"/>
        <v>25.612660944206009</v>
      </c>
      <c r="J35" s="111">
        <f t="shared" si="4"/>
        <v>23.717687734263926</v>
      </c>
      <c r="K35" s="111">
        <f t="shared" si="4"/>
        <v>26.276333811635794</v>
      </c>
      <c r="L35" s="111">
        <f t="shared" si="4"/>
        <v>27.113994539926786</v>
      </c>
      <c r="N35" s="111">
        <f>IFERROR(AVERAGE(C35:L35),0)</f>
        <v>26.206426663116417</v>
      </c>
      <c r="O35" s="111">
        <f>IFERROR(MEDIAN(C35:L35),0)</f>
        <v>26.040755174210076</v>
      </c>
    </row>
    <row r="36" spans="2:15" x14ac:dyDescent="0.3">
      <c r="B36" s="109" t="s">
        <v>265</v>
      </c>
      <c r="C36" s="111">
        <f>SUM(C33,C35)-C34</f>
        <v>-55.682256799951759</v>
      </c>
      <c r="D36" s="111">
        <f t="shared" ref="D36:L36" si="5">SUM(D33,D35)-D34</f>
        <v>-69.395695597130398</v>
      </c>
      <c r="E36" s="111">
        <f t="shared" si="5"/>
        <v>-58.245866191808709</v>
      </c>
      <c r="F36" s="111">
        <f t="shared" si="5"/>
        <v>-73.471583339617425</v>
      </c>
      <c r="G36" s="111">
        <f t="shared" si="5"/>
        <v>-122.07801735136513</v>
      </c>
      <c r="H36" s="111">
        <f t="shared" si="5"/>
        <v>-97.92071845326619</v>
      </c>
      <c r="I36" s="111">
        <f t="shared" si="5"/>
        <v>-85.700891383294817</v>
      </c>
      <c r="J36" s="111">
        <f t="shared" si="5"/>
        <v>-110.67468010856921</v>
      </c>
      <c r="K36" s="111">
        <f t="shared" si="5"/>
        <v>-122.47806874510829</v>
      </c>
      <c r="L36" s="111">
        <f t="shared" si="5"/>
        <v>-120.89478500961719</v>
      </c>
      <c r="N36" s="111">
        <f>IFERROR(AVERAGE(C36:L36),0)</f>
        <v>-91.654256297972921</v>
      </c>
      <c r="O36" s="111">
        <f>IFERROR(MEDIAN(C36:L36),0)</f>
        <v>-91.810804918280496</v>
      </c>
    </row>
    <row r="37" spans="2:15" x14ac:dyDescent="0.3">
      <c r="B37" s="110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</row>
    <row r="38" spans="2:15" x14ac:dyDescent="0.3">
      <c r="B38" s="109" t="s">
        <v>264</v>
      </c>
      <c r="C38" s="104">
        <f>IFERROR('Historical FS'!C82/'Historical FS'!C5,0)</f>
        <v>0.15635365780109764</v>
      </c>
      <c r="D38" s="104">
        <f>IFERROR('Historical FS'!D82/'Historical FS'!D5,0)</f>
        <v>0.17045998030665355</v>
      </c>
      <c r="E38" s="104">
        <f>IFERROR('Historical FS'!E82/'Historical FS'!E5,0)</f>
        <v>0.14754515390485881</v>
      </c>
      <c r="F38" s="104">
        <f>IFERROR('Historical FS'!F82/'Historical FS'!F5,0)</f>
        <v>0.19161450870975039</v>
      </c>
      <c r="G38" s="104">
        <f>IFERROR('Historical FS'!G82/'Historical FS'!G5,0)</f>
        <v>0.19484137109806923</v>
      </c>
      <c r="H38" s="104">
        <f>IFERROR('Historical FS'!H82/'Historical FS'!H5,0)</f>
        <v>0.1725203066010754</v>
      </c>
      <c r="I38" s="104">
        <f>IFERROR('Historical FS'!I82/'Historical FS'!I5,0)</f>
        <v>0.16492241663915483</v>
      </c>
      <c r="J38" s="104">
        <f>IFERROR('Historical FS'!J82/'Historical FS'!J5,0)</f>
        <v>0.2499192193356598</v>
      </c>
      <c r="K38" s="104">
        <f>IFERROR('Historical FS'!K82/'Historical FS'!K5,0)</f>
        <v>0.19381033133315939</v>
      </c>
      <c r="L38" s="104">
        <f>IFERROR('Historical FS'!L82/'Historical FS'!L5,0)</f>
        <v>0.17061177638518335</v>
      </c>
      <c r="N38" s="108">
        <f>IFERROR(AVERAGE(C38:L38),0)</f>
        <v>0.18125987221146622</v>
      </c>
      <c r="O38" s="108">
        <f>IFERROR(MEDIAN(C38:L38),0)</f>
        <v>0.17156604149312937</v>
      </c>
    </row>
    <row r="39" spans="2:15" x14ac:dyDescent="0.3">
      <c r="B39" s="109" t="s">
        <v>263</v>
      </c>
      <c r="C39" s="104">
        <f>IFERROR('Historical FS'!C82/'Historical FS'!C66,0)</f>
        <v>0.33012861326881449</v>
      </c>
      <c r="D39" s="104">
        <f>IFERROR('Historical FS'!D82/'Historical FS'!D66,0)</f>
        <v>0.33921173440824098</v>
      </c>
      <c r="E39" s="104">
        <f>IFERROR('Historical FS'!E82/'Historical FS'!E66,0)</f>
        <v>0.31134253046325622</v>
      </c>
      <c r="F39" s="104">
        <f>IFERROR('Historical FS'!F82/'Historical FS'!F66,0)</f>
        <v>0.3782563390065995</v>
      </c>
      <c r="G39" s="104">
        <f>IFERROR('Historical FS'!G82/'Historical FS'!G66,0)</f>
        <v>0.13329938900203667</v>
      </c>
      <c r="H39" s="104">
        <f>IFERROR('Historical FS'!H82/'Historical FS'!H66,0)</f>
        <v>0.12832950387201089</v>
      </c>
      <c r="I39" s="104">
        <f>IFERROR('Historical FS'!I82/'Historical FS'!I66,0)</f>
        <v>0.13671880345389109</v>
      </c>
      <c r="J39" s="104">
        <f>IFERROR('Historical FS'!J82/'Historical FS'!J66,0)</f>
        <v>0.19708494183898381</v>
      </c>
      <c r="K39" s="104">
        <f>IFERROR('Historical FS'!K82/'Historical FS'!K66,0)</f>
        <v>0.14882987115435184</v>
      </c>
      <c r="L39" s="104">
        <f>IFERROR('Historical FS'!L82/'Historical FS'!L66,0)</f>
        <v>0.13793925104717952</v>
      </c>
      <c r="N39" s="108">
        <f>IFERROR(AVERAGE(C39:L39),0)</f>
        <v>0.22411409775153643</v>
      </c>
      <c r="O39" s="108">
        <f>IFERROR(MEDIAN(C39:L39),0)</f>
        <v>0.17295740649666783</v>
      </c>
    </row>
    <row r="40" spans="2:15" x14ac:dyDescent="0.3">
      <c r="B40" s="109" t="s">
        <v>262</v>
      </c>
      <c r="C40" s="104">
        <f>IFERROR('Historical FS'!C82/'Historical FS'!C51,0)</f>
        <v>18.71841155234657</v>
      </c>
      <c r="D40" s="104">
        <f>IFERROR('Historical FS'!D82/'Historical FS'!D51,0)</f>
        <v>0</v>
      </c>
      <c r="E40" s="104">
        <f>IFERROR('Historical FS'!E82/'Historical FS'!E51,0)</f>
        <v>58.585858585858588</v>
      </c>
      <c r="F40" s="104">
        <f>IFERROR('Historical FS'!F82/'Historical FS'!F51,0)</f>
        <v>0</v>
      </c>
      <c r="G40" s="104">
        <f>IFERROR('Historical FS'!G82/'Historical FS'!G51,0)</f>
        <v>0</v>
      </c>
      <c r="H40" s="104">
        <f>IFERROR('Historical FS'!H82/'Historical FS'!H51,0)</f>
        <v>8.6749760306807282</v>
      </c>
      <c r="I40" s="104">
        <f>IFERROR('Historical FS'!I82/'Historical FS'!I51,0)</f>
        <v>8.1960623461853981</v>
      </c>
      <c r="J40" s="104">
        <f>IFERROR('Historical FS'!J82/'Historical FS'!J51,0)</f>
        <v>10.423854447439354</v>
      </c>
      <c r="K40" s="104">
        <f>IFERROR('Historical FS'!K82/'Historical FS'!K51,0)</f>
        <v>7.2123786407766994</v>
      </c>
      <c r="L40" s="104">
        <f>IFERROR('Historical FS'!L82/'Historical FS'!L51,0)</f>
        <v>7.4418132611637349</v>
      </c>
      <c r="N40" s="108">
        <f>IFERROR(AVERAGE(C40:L40),0)</f>
        <v>11.925335486445107</v>
      </c>
      <c r="O40" s="108">
        <f>IFERROR(MEDIAN(C40:L40),0)</f>
        <v>7.8189378036745669</v>
      </c>
    </row>
    <row r="41" spans="2:15" x14ac:dyDescent="0.3"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</row>
  </sheetData>
  <mergeCells count="1">
    <mergeCell ref="B2:O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9F50BAB8-E4E4-4B1A-BA6D-BE3C57884D4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'Financial Ratios'!C20:L20</xm:f>
              <xm:sqref>M20</xm:sqref>
            </x14:sparkline>
          </x14:sparklines>
        </x14:sparklineGroup>
        <x14:sparklineGroup manualMax="0" manualMin="0" displayEmptyCellsAs="gap" xr2:uid="{6F5ED2FD-BF19-439B-9431-33433DACE24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'Financial Ratios'!C11:L11</xm:f>
              <xm:sqref>M11</xm:sqref>
            </x14:sparkline>
            <x14:sparkline>
              <xm:f>'Financial Ratios'!C12:L12</xm:f>
              <xm:sqref>M12</xm:sqref>
            </x14:sparkline>
            <x14:sparkline>
              <xm:f>'Financial Ratios'!C13:L13</xm:f>
              <xm:sqref>M13</xm:sqref>
            </x14:sparkline>
            <x14:sparkline>
              <xm:f>'Financial Ratios'!C14:L14</xm:f>
              <xm:sqref>M14</xm:sqref>
            </x14:sparkline>
            <x14:sparkline>
              <xm:f>'Financial Ratios'!C15:L15</xm:f>
              <xm:sqref>M15</xm:sqref>
            </x14:sparkline>
            <x14:sparkline>
              <xm:f>'Financial Ratios'!C16:L16</xm:f>
              <xm:sqref>M16</xm:sqref>
            </x14:sparkline>
            <x14:sparkline>
              <xm:f>'Financial Ratios'!C17:L17</xm:f>
              <xm:sqref>M17</xm:sqref>
            </x14:sparkline>
            <x14:sparkline>
              <xm:f>'Financial Ratios'!C18:L18</xm:f>
              <xm:sqref>M18</xm:sqref>
            </x14:sparkline>
            <x14:sparkline>
              <xm:f>'Financial Ratios'!C19:L19</xm:f>
              <xm:sqref>M19</xm:sqref>
            </x14:sparkline>
            <x14:sparkline>
              <xm:f>'Financial Ratios'!C21:L21</xm:f>
              <xm:sqref>M21</xm:sqref>
            </x14:sparkline>
            <x14:sparkline>
              <xm:f>'Financial Ratios'!C22:L22</xm:f>
              <xm:sqref>M22</xm:sqref>
            </x14:sparkline>
            <x14:sparkline>
              <xm:f>'Financial Ratios'!C23:L23</xm:f>
              <xm:sqref>M23</xm:sqref>
            </x14:sparkline>
            <x14:sparkline>
              <xm:f>'Financial Ratios'!C24:L24</xm:f>
              <xm:sqref>M24</xm:sqref>
            </x14:sparkline>
            <x14:sparkline>
              <xm:f>'Financial Ratios'!C25:L25</xm:f>
              <xm:sqref>M25</xm:sqref>
            </x14:sparkline>
            <x14:sparkline>
              <xm:f>'Financial Ratios'!C26:L26</xm:f>
              <xm:sqref>M26</xm:sqref>
            </x14:sparkline>
            <x14:sparkline>
              <xm:f>'Financial Ratios'!C27:L27</xm:f>
              <xm:sqref>M27</xm:sqref>
            </x14:sparkline>
            <x14:sparkline>
              <xm:f>'Financial Ratios'!C28:L28</xm:f>
              <xm:sqref>M28</xm:sqref>
            </x14:sparkline>
            <x14:sparkline>
              <xm:f>'Financial Ratios'!C29:L29</xm:f>
              <xm:sqref>M29</xm:sqref>
            </x14:sparkline>
            <x14:sparkline>
              <xm:f>'Financial Ratios'!C30:L30</xm:f>
              <xm:sqref>M30</xm:sqref>
            </x14:sparkline>
            <x14:sparkline>
              <xm:f>'Financial Ratios'!C31:L31</xm:f>
              <xm:sqref>M31</xm:sqref>
            </x14:sparkline>
            <x14:sparkline>
              <xm:f>'Financial Ratios'!C32:L32</xm:f>
              <xm:sqref>M32</xm:sqref>
            </x14:sparkline>
            <x14:sparkline>
              <xm:f>'Financial Ratios'!C33:L33</xm:f>
              <xm:sqref>M33</xm:sqref>
            </x14:sparkline>
            <x14:sparkline>
              <xm:f>'Financial Ratios'!C34:L34</xm:f>
              <xm:sqref>M34</xm:sqref>
            </x14:sparkline>
            <x14:sparkline>
              <xm:f>'Financial Ratios'!C35:L35</xm:f>
              <xm:sqref>M35</xm:sqref>
            </x14:sparkline>
            <x14:sparkline>
              <xm:f>'Financial Ratios'!C36:L36</xm:f>
              <xm:sqref>M36</xm:sqref>
            </x14:sparkline>
            <x14:sparkline>
              <xm:f>'Financial Ratios'!C37:L37</xm:f>
              <xm:sqref>M37</xm:sqref>
            </x14:sparkline>
            <x14:sparkline>
              <xm:f>'Financial Ratios'!C38:L38</xm:f>
              <xm:sqref>M38</xm:sqref>
            </x14:sparkline>
            <x14:sparkline>
              <xm:f>'Financial Ratios'!C39:L39</xm:f>
              <xm:sqref>M39</xm:sqref>
            </x14:sparkline>
            <x14:sparkline>
              <xm:f>'Financial Ratios'!C40:L40</xm:f>
              <xm:sqref>M40</xm:sqref>
            </x14:sparkline>
          </x14:sparklines>
        </x14:sparklineGroup>
        <x14:sparklineGroup manualMax="0" manualMin="0" displayEmptyCellsAs="gap" xr2:uid="{940614DF-3332-4835-BD87-2A0284D91B8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'Financial Ratios'!D5:L5</xm:f>
              <xm:sqref>M5</xm:sqref>
            </x14:sparkline>
            <x14:sparkline>
              <xm:f>'Financial Ratios'!D6:L6</xm:f>
              <xm:sqref>M6</xm:sqref>
            </x14:sparkline>
            <x14:sparkline>
              <xm:f>'Financial Ratios'!D7:L7</xm:f>
              <xm:sqref>M7</xm:sqref>
            </x14:sparkline>
            <x14:sparkline>
              <xm:f>'Financial Ratios'!D8:L8</xm:f>
              <xm:sqref>M8</xm:sqref>
            </x14:sparkline>
            <x14:sparkline>
              <xm:f>'Financial Ratios'!D9:L9</xm:f>
              <xm:sqref>M9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C28EF-0406-41BF-AF30-4CEC996C4122}">
  <dimension ref="B2:O18"/>
  <sheetViews>
    <sheetView showGridLines="0" workbookViewId="0">
      <selection activeCell="L3" sqref="L3:O3"/>
    </sheetView>
  </sheetViews>
  <sheetFormatPr defaultRowHeight="14.4" x14ac:dyDescent="0.3"/>
  <cols>
    <col min="1" max="1" width="2.33203125" style="82" customWidth="1"/>
    <col min="2" max="2" width="11.109375" style="82" bestFit="1" customWidth="1"/>
    <col min="3" max="3" width="10.33203125" style="82" bestFit="1" customWidth="1"/>
    <col min="4" max="4" width="8.5546875" style="82" bestFit="1" customWidth="1"/>
    <col min="5" max="5" width="18.77734375" style="82" customWidth="1"/>
    <col min="6" max="6" width="2.77734375" style="82" customWidth="1"/>
    <col min="7" max="7" width="15.109375" style="82" customWidth="1"/>
    <col min="8" max="8" width="8.88671875" style="82"/>
    <col min="9" max="9" width="12.21875" style="82" customWidth="1"/>
    <col min="10" max="10" width="14.77734375" style="82" customWidth="1"/>
    <col min="11" max="11" width="2.77734375" style="82" customWidth="1"/>
    <col min="12" max="12" width="16.5546875" style="82" customWidth="1"/>
    <col min="13" max="13" width="6.109375" style="82" bestFit="1" customWidth="1"/>
    <col min="14" max="14" width="11" style="82" customWidth="1"/>
    <col min="15" max="15" width="16.88671875" style="82" customWidth="1"/>
    <col min="16" max="16384" width="8.88671875" style="82"/>
  </cols>
  <sheetData>
    <row r="2" spans="2:15" x14ac:dyDescent="0.3">
      <c r="B2" s="196" t="str">
        <f>'Data Sheet'!B1&amp;" - "&amp;'Data Sheet'!A17&amp; " Forecasting"</f>
        <v>HINDUSTAN UNILEVER LTD - Sales Forecasting</v>
      </c>
      <c r="C2" s="196"/>
      <c r="D2" s="196"/>
      <c r="E2" s="196"/>
      <c r="G2" s="196" t="str">
        <f>'Data Sheet'!B1&amp;" - "&amp;'Data Sheet'!A33&amp; " Forecasting"</f>
        <v>HINDUSTAN UNILEVER LTD - EBITDA Forecasting</v>
      </c>
      <c r="H2" s="196"/>
      <c r="I2" s="196"/>
      <c r="J2" s="196"/>
      <c r="L2" s="196" t="str">
        <f>'Data Sheet'!B1&amp;" - "&amp;'Historical FS'!B40&amp; " Forecasting"</f>
        <v>HINDUSTAN UNILEVER LTD - EPS Forecasting</v>
      </c>
      <c r="M2" s="196"/>
      <c r="N2" s="196"/>
      <c r="O2" s="196"/>
    </row>
    <row r="3" spans="2:15" ht="15" customHeight="1" x14ac:dyDescent="0.3">
      <c r="B3" s="206" t="s">
        <v>293</v>
      </c>
      <c r="C3" s="207" t="s">
        <v>90</v>
      </c>
      <c r="D3" s="207" t="s">
        <v>163</v>
      </c>
      <c r="E3" s="207" t="s">
        <v>228</v>
      </c>
      <c r="G3" s="206" t="s">
        <v>293</v>
      </c>
      <c r="H3" s="207" t="s">
        <v>90</v>
      </c>
      <c r="I3" s="207" t="s">
        <v>235</v>
      </c>
      <c r="J3" s="207" t="s">
        <v>362</v>
      </c>
      <c r="L3" s="206" t="s">
        <v>293</v>
      </c>
      <c r="M3" s="207" t="s">
        <v>90</v>
      </c>
      <c r="N3" s="207" t="s">
        <v>246</v>
      </c>
      <c r="O3" s="207" t="s">
        <v>363</v>
      </c>
    </row>
    <row r="4" spans="2:15" x14ac:dyDescent="0.3">
      <c r="B4" s="117">
        <v>1</v>
      </c>
      <c r="C4" s="118">
        <f>'Data Sheet'!B16</f>
        <v>42825</v>
      </c>
      <c r="D4" s="185">
        <f t="array" ref="D4:D13">TRANSPOSE('Data Sheet'!B17:K17)</f>
        <v>33162</v>
      </c>
      <c r="G4" s="117">
        <v>1</v>
      </c>
      <c r="H4" s="118">
        <f>'Data Sheet'!B16</f>
        <v>42825</v>
      </c>
      <c r="I4" s="185">
        <f t="array" ref="I4:I13">TRANSPOSE('Historical FS'!C17:L17)</f>
        <v>6623</v>
      </c>
      <c r="L4" s="117">
        <v>1</v>
      </c>
      <c r="M4" s="118">
        <f>'Data Sheet'!B16</f>
        <v>42825</v>
      </c>
      <c r="N4" s="103">
        <f t="array" ref="N4:N13">TRANSPOSE('Historical FS'!C40:L40)</f>
        <v>19.308783440373329</v>
      </c>
    </row>
    <row r="5" spans="2:15" x14ac:dyDescent="0.3">
      <c r="B5" s="117">
        <f>B4+1</f>
        <v>2</v>
      </c>
      <c r="C5" s="118">
        <f>C4+365</f>
        <v>43190</v>
      </c>
      <c r="D5" s="185">
        <v>35545</v>
      </c>
      <c r="E5" s="104">
        <f>D5/D4-1</f>
        <v>7.1859357095470644E-2</v>
      </c>
      <c r="G5" s="117">
        <f>G4+1</f>
        <v>2</v>
      </c>
      <c r="H5" s="118">
        <f>H4+365</f>
        <v>43190</v>
      </c>
      <c r="I5" s="185">
        <v>7794</v>
      </c>
      <c r="J5" s="104">
        <f>I5/I4-1</f>
        <v>0.17680809300921041</v>
      </c>
      <c r="L5" s="117">
        <f>L4+1</f>
        <v>2</v>
      </c>
      <c r="M5" s="118">
        <f>M4+365</f>
        <v>43190</v>
      </c>
      <c r="N5" s="103">
        <v>23.880803880803882</v>
      </c>
      <c r="O5" s="104">
        <f t="shared" ref="O5:O18" si="0">N5/N4-1</f>
        <v>0.23678449005082181</v>
      </c>
    </row>
    <row r="6" spans="2:15" x14ac:dyDescent="0.3">
      <c r="B6" s="117">
        <f t="shared" ref="B6:B18" si="1">B5+1</f>
        <v>3</v>
      </c>
      <c r="C6" s="118">
        <f t="shared" ref="C6:C18" si="2">C5+365</f>
        <v>43555</v>
      </c>
      <c r="D6" s="185">
        <v>39310</v>
      </c>
      <c r="E6" s="104">
        <f t="shared" ref="E6:E18" si="3">D6/D5-1</f>
        <v>0.1059220706147137</v>
      </c>
      <c r="G6" s="117">
        <f t="shared" ref="G6:G18" si="4">G5+1</f>
        <v>3</v>
      </c>
      <c r="H6" s="118">
        <f t="shared" ref="H6:H18" si="5">H5+365</f>
        <v>43555</v>
      </c>
      <c r="I6" s="185">
        <v>9188</v>
      </c>
      <c r="J6" s="104">
        <f t="shared" ref="J6:J18" si="6">I6/I5-1</f>
        <v>0.17885552989479092</v>
      </c>
      <c r="L6" s="117">
        <f t="shared" ref="L6:L18" si="7">L5+1</f>
        <v>3</v>
      </c>
      <c r="M6" s="118">
        <f t="shared" ref="M6:M18" si="8">M5+365</f>
        <v>43555</v>
      </c>
      <c r="N6" s="103">
        <v>27.929967200997829</v>
      </c>
      <c r="O6" s="104">
        <f t="shared" si="0"/>
        <v>0.16955724524201576</v>
      </c>
    </row>
    <row r="7" spans="2:15" x14ac:dyDescent="0.3">
      <c r="B7" s="117">
        <f t="shared" si="1"/>
        <v>4</v>
      </c>
      <c r="C7" s="118">
        <f t="shared" si="2"/>
        <v>43920</v>
      </c>
      <c r="D7" s="185">
        <v>39783</v>
      </c>
      <c r="E7" s="104">
        <f t="shared" si="3"/>
        <v>1.2032561689137689E-2</v>
      </c>
      <c r="G7" s="117">
        <f t="shared" si="4"/>
        <v>4</v>
      </c>
      <c r="H7" s="118">
        <f t="shared" si="5"/>
        <v>43920</v>
      </c>
      <c r="I7" s="185">
        <v>10160</v>
      </c>
      <c r="J7" s="104">
        <f t="shared" si="6"/>
        <v>0.10579016107966921</v>
      </c>
      <c r="L7" s="117">
        <f t="shared" si="7"/>
        <v>4</v>
      </c>
      <c r="M7" s="118">
        <f t="shared" si="8"/>
        <v>43920</v>
      </c>
      <c r="N7" s="103">
        <v>30.631005173688102</v>
      </c>
      <c r="O7" s="104">
        <f t="shared" si="0"/>
        <v>9.6707523974241427E-2</v>
      </c>
    </row>
    <row r="8" spans="2:15" x14ac:dyDescent="0.3">
      <c r="B8" s="117">
        <f t="shared" si="1"/>
        <v>5</v>
      </c>
      <c r="C8" s="118">
        <f t="shared" si="2"/>
        <v>44285</v>
      </c>
      <c r="D8" s="185">
        <v>47028</v>
      </c>
      <c r="E8" s="104">
        <f>D8/D7-1</f>
        <v>0.18211296282331646</v>
      </c>
      <c r="G8" s="117">
        <f t="shared" si="4"/>
        <v>5</v>
      </c>
      <c r="H8" s="118">
        <f t="shared" si="5"/>
        <v>44285</v>
      </c>
      <c r="I8" s="185">
        <v>11965</v>
      </c>
      <c r="J8" s="104">
        <f t="shared" si="6"/>
        <v>0.17765748031496065</v>
      </c>
      <c r="L8" s="117">
        <f t="shared" si="7"/>
        <v>5</v>
      </c>
      <c r="M8" s="118">
        <f t="shared" si="8"/>
        <v>44285</v>
      </c>
      <c r="N8" s="103">
        <v>34.763363976847124</v>
      </c>
      <c r="O8" s="104">
        <f t="shared" si="0"/>
        <v>0.13490771131169743</v>
      </c>
    </row>
    <row r="9" spans="2:15" x14ac:dyDescent="0.3">
      <c r="B9" s="117">
        <f t="shared" si="1"/>
        <v>6</v>
      </c>
      <c r="C9" s="118">
        <f t="shared" si="2"/>
        <v>44650</v>
      </c>
      <c r="D9" s="185">
        <v>52446</v>
      </c>
      <c r="E9" s="104">
        <f t="shared" si="3"/>
        <v>0.11520796121459553</v>
      </c>
      <c r="G9" s="117">
        <f t="shared" si="4"/>
        <v>6</v>
      </c>
      <c r="H9" s="118">
        <f t="shared" si="5"/>
        <v>44650</v>
      </c>
      <c r="I9" s="185">
        <v>13175</v>
      </c>
      <c r="J9" s="104">
        <f t="shared" si="6"/>
        <v>0.10112829084830754</v>
      </c>
      <c r="L9" s="117">
        <f t="shared" si="7"/>
        <v>6</v>
      </c>
      <c r="M9" s="118">
        <f t="shared" si="8"/>
        <v>44650</v>
      </c>
      <c r="N9" s="103">
        <v>38.266087844739531</v>
      </c>
      <c r="O9" s="104">
        <f t="shared" si="0"/>
        <v>0.1007590597453476</v>
      </c>
    </row>
    <row r="10" spans="2:15" x14ac:dyDescent="0.3">
      <c r="B10" s="117">
        <f t="shared" si="1"/>
        <v>7</v>
      </c>
      <c r="C10" s="118">
        <f t="shared" si="2"/>
        <v>45015</v>
      </c>
      <c r="D10" s="185">
        <v>60580</v>
      </c>
      <c r="E10" s="104">
        <f t="shared" si="3"/>
        <v>0.15509285741524614</v>
      </c>
      <c r="G10" s="117">
        <f t="shared" si="4"/>
        <v>7</v>
      </c>
      <c r="H10" s="118">
        <f t="shared" si="5"/>
        <v>45015</v>
      </c>
      <c r="I10" s="185">
        <v>14531</v>
      </c>
      <c r="J10" s="104">
        <f t="shared" si="6"/>
        <v>0.10292220113852002</v>
      </c>
      <c r="L10" s="117">
        <f t="shared" si="7"/>
        <v>7</v>
      </c>
      <c r="M10" s="118">
        <f t="shared" si="8"/>
        <v>45015</v>
      </c>
      <c r="N10" s="103">
        <v>42.896663261831797</v>
      </c>
      <c r="O10" s="104">
        <f t="shared" si="0"/>
        <v>0.12100989878767643</v>
      </c>
    </row>
    <row r="11" spans="2:15" x14ac:dyDescent="0.3">
      <c r="B11" s="117">
        <f t="shared" si="1"/>
        <v>8</v>
      </c>
      <c r="C11" s="118">
        <f t="shared" si="2"/>
        <v>45380</v>
      </c>
      <c r="D11" s="185">
        <v>61896</v>
      </c>
      <c r="E11" s="104">
        <f t="shared" si="3"/>
        <v>2.1723341036645749E-2</v>
      </c>
      <c r="G11" s="117">
        <f t="shared" si="4"/>
        <v>8</v>
      </c>
      <c r="H11" s="118">
        <f t="shared" si="5"/>
        <v>45380</v>
      </c>
      <c r="I11" s="185">
        <v>15105</v>
      </c>
      <c r="J11" s="104">
        <f t="shared" si="6"/>
        <v>3.9501754868900951E-2</v>
      </c>
      <c r="L11" s="117">
        <f t="shared" si="7"/>
        <v>8</v>
      </c>
      <c r="M11" s="118">
        <f t="shared" si="8"/>
        <v>45380</v>
      </c>
      <c r="N11" s="103">
        <v>42.181647940074903</v>
      </c>
      <c r="O11" s="104">
        <f t="shared" si="0"/>
        <v>-1.6668320269867976E-2</v>
      </c>
    </row>
    <row r="12" spans="2:15" x14ac:dyDescent="0.3">
      <c r="B12" s="117">
        <f t="shared" si="1"/>
        <v>9</v>
      </c>
      <c r="C12" s="118">
        <f t="shared" si="2"/>
        <v>45745</v>
      </c>
      <c r="D12" s="185">
        <v>61328</v>
      </c>
      <c r="E12" s="104">
        <f t="shared" si="3"/>
        <v>-9.1766834690448773E-3</v>
      </c>
      <c r="G12" s="117">
        <f t="shared" si="4"/>
        <v>9</v>
      </c>
      <c r="H12" s="118">
        <f t="shared" si="5"/>
        <v>45745</v>
      </c>
      <c r="I12" s="185">
        <v>15101</v>
      </c>
      <c r="J12" s="104">
        <f t="shared" si="6"/>
        <v>-2.6481297583580421E-4</v>
      </c>
      <c r="L12" s="117">
        <f t="shared" si="7"/>
        <v>9</v>
      </c>
      <c r="M12" s="118">
        <f t="shared" si="8"/>
        <v>45745</v>
      </c>
      <c r="N12" s="103">
        <v>41.364487572352736</v>
      </c>
      <c r="O12" s="104">
        <f t="shared" si="0"/>
        <v>-1.9372414488951661E-2</v>
      </c>
    </row>
    <row r="13" spans="2:15" x14ac:dyDescent="0.3">
      <c r="B13" s="117">
        <f t="shared" si="1"/>
        <v>10</v>
      </c>
      <c r="C13" s="118">
        <f t="shared" si="2"/>
        <v>46110</v>
      </c>
      <c r="D13" s="185">
        <v>64468</v>
      </c>
      <c r="E13" s="104">
        <f t="shared" si="3"/>
        <v>5.1200104356900589E-2</v>
      </c>
      <c r="G13" s="117">
        <f t="shared" si="4"/>
        <v>10</v>
      </c>
      <c r="H13" s="118">
        <f t="shared" si="5"/>
        <v>46110</v>
      </c>
      <c r="I13" s="185">
        <v>15465</v>
      </c>
      <c r="J13" s="104">
        <f t="shared" si="6"/>
        <v>2.4104363949407404E-2</v>
      </c>
      <c r="L13" s="117">
        <f t="shared" si="7"/>
        <v>10</v>
      </c>
      <c r="M13" s="118">
        <f t="shared" si="8"/>
        <v>46110</v>
      </c>
      <c r="N13" s="103">
        <v>44.95233231188287</v>
      </c>
      <c r="O13" s="104">
        <f t="shared" si="0"/>
        <v>8.673731865418266E-2</v>
      </c>
    </row>
    <row r="14" spans="2:15" x14ac:dyDescent="0.3">
      <c r="B14" s="119">
        <f t="shared" si="1"/>
        <v>11</v>
      </c>
      <c r="C14" s="120">
        <f t="shared" si="2"/>
        <v>46475</v>
      </c>
      <c r="D14" s="186">
        <f>FORECAST(B14,$D$4:$D$13,$B$4:$B$13)</f>
        <v>70987.066666666666</v>
      </c>
      <c r="E14" s="121">
        <f t="shared" si="3"/>
        <v>0.10112096957663752</v>
      </c>
      <c r="G14" s="119">
        <f t="shared" si="4"/>
        <v>11</v>
      </c>
      <c r="H14" s="120">
        <f t="shared" si="5"/>
        <v>46475</v>
      </c>
      <c r="I14" s="186">
        <f>FORECAST(G14,$I$4:$I$13,$G$4:$G$13)</f>
        <v>17731.866666666669</v>
      </c>
      <c r="J14" s="121">
        <f t="shared" si="6"/>
        <v>0.14658045047957757</v>
      </c>
      <c r="L14" s="119">
        <f t="shared" si="7"/>
        <v>11</v>
      </c>
      <c r="M14" s="120">
        <f t="shared" si="8"/>
        <v>46475</v>
      </c>
      <c r="N14" s="122">
        <f>FORECAST(L14,$N$4:$N$13,$L$4:$L$13)</f>
        <v>50.108708510763776</v>
      </c>
      <c r="O14" s="121">
        <f t="shared" si="0"/>
        <v>0.11470764549224177</v>
      </c>
    </row>
    <row r="15" spans="2:15" x14ac:dyDescent="0.3">
      <c r="B15" s="119">
        <f t="shared" si="1"/>
        <v>12</v>
      </c>
      <c r="C15" s="120">
        <f t="shared" si="2"/>
        <v>46840</v>
      </c>
      <c r="D15" s="186">
        <f>FORECAST(B15,$D$4:$D$13,$B$4:$B$13)</f>
        <v>74883.878787878784</v>
      </c>
      <c r="E15" s="121">
        <f t="shared" si="3"/>
        <v>5.4894677357360644E-2</v>
      </c>
      <c r="G15" s="119">
        <f t="shared" si="4"/>
        <v>12</v>
      </c>
      <c r="H15" s="120">
        <f t="shared" si="5"/>
        <v>46840</v>
      </c>
      <c r="I15" s="186">
        <f>FORECAST(G15,$I$4:$I$13,$G$4:$G$13)</f>
        <v>18790.260606060609</v>
      </c>
      <c r="J15" s="121">
        <f t="shared" si="6"/>
        <v>5.9688805430934577E-2</v>
      </c>
      <c r="L15" s="119">
        <f t="shared" si="7"/>
        <v>12</v>
      </c>
      <c r="M15" s="120">
        <f t="shared" si="8"/>
        <v>46840</v>
      </c>
      <c r="N15" s="122">
        <f>FORECAST(L15,$N$4:$N$13,$L$4:$L$13)</f>
        <v>52.925289283564602</v>
      </c>
      <c r="O15" s="121">
        <f t="shared" si="0"/>
        <v>5.620940663828522E-2</v>
      </c>
    </row>
    <row r="16" spans="2:15" x14ac:dyDescent="0.3">
      <c r="B16" s="119">
        <f t="shared" si="1"/>
        <v>13</v>
      </c>
      <c r="C16" s="120">
        <f t="shared" si="2"/>
        <v>47205</v>
      </c>
      <c r="D16" s="186">
        <f>FORECAST(B16,$D$4:$D$13,$B$4:$B$13)</f>
        <v>78780.690909090918</v>
      </c>
      <c r="E16" s="121">
        <f t="shared" si="3"/>
        <v>5.2038064591318989E-2</v>
      </c>
      <c r="G16" s="119">
        <f t="shared" si="4"/>
        <v>13</v>
      </c>
      <c r="H16" s="120">
        <f t="shared" si="5"/>
        <v>47205</v>
      </c>
      <c r="I16" s="186">
        <f>FORECAST(G16,$I$4:$I$13,$G$4:$G$13)</f>
        <v>19848.654545454548</v>
      </c>
      <c r="J16" s="121">
        <f t="shared" si="6"/>
        <v>5.6326730191946561E-2</v>
      </c>
      <c r="L16" s="119">
        <f t="shared" si="7"/>
        <v>13</v>
      </c>
      <c r="M16" s="120">
        <f t="shared" si="8"/>
        <v>47205</v>
      </c>
      <c r="N16" s="122">
        <f>FORECAST(L16,$N$4:$N$13,$L$4:$L$13)</f>
        <v>55.741870056365428</v>
      </c>
      <c r="O16" s="121">
        <f t="shared" si="0"/>
        <v>5.3218051538841404E-2</v>
      </c>
    </row>
    <row r="17" spans="2:15" x14ac:dyDescent="0.3">
      <c r="B17" s="119">
        <f t="shared" si="1"/>
        <v>14</v>
      </c>
      <c r="C17" s="120">
        <f t="shared" si="2"/>
        <v>47570</v>
      </c>
      <c r="D17" s="186">
        <f>FORECAST(B17,$D$4:$D$13,$B$4:$B$13)</f>
        <v>82677.503030303022</v>
      </c>
      <c r="E17" s="121">
        <f t="shared" si="3"/>
        <v>4.9464051104969764E-2</v>
      </c>
      <c r="G17" s="119">
        <f t="shared" si="4"/>
        <v>14</v>
      </c>
      <c r="H17" s="120">
        <f t="shared" si="5"/>
        <v>47570</v>
      </c>
      <c r="I17" s="186">
        <f>FORECAST(G17,$I$4:$I$13,$G$4:$G$13)</f>
        <v>20907.048484848485</v>
      </c>
      <c r="J17" s="121">
        <f t="shared" si="6"/>
        <v>5.3323208229059338E-2</v>
      </c>
      <c r="L17" s="119">
        <f t="shared" si="7"/>
        <v>14</v>
      </c>
      <c r="M17" s="120">
        <f t="shared" si="8"/>
        <v>47570</v>
      </c>
      <c r="N17" s="122">
        <f>FORECAST(L17,$N$4:$N$13,$L$4:$L$13)</f>
        <v>58.558450829166254</v>
      </c>
      <c r="O17" s="121">
        <f t="shared" si="0"/>
        <v>5.052899678379541E-2</v>
      </c>
    </row>
    <row r="18" spans="2:15" x14ac:dyDescent="0.3">
      <c r="B18" s="119">
        <f t="shared" si="1"/>
        <v>15</v>
      </c>
      <c r="C18" s="120">
        <f t="shared" si="2"/>
        <v>47935</v>
      </c>
      <c r="D18" s="186">
        <f>FORECAST(B18,$D$4:$D$13,$B$4:$B$13)</f>
        <v>86574.315151515155</v>
      </c>
      <c r="E18" s="121">
        <f t="shared" si="3"/>
        <v>4.7132677915827648E-2</v>
      </c>
      <c r="G18" s="119">
        <f t="shared" si="4"/>
        <v>15</v>
      </c>
      <c r="H18" s="120">
        <f t="shared" si="5"/>
        <v>47935</v>
      </c>
      <c r="I18" s="186">
        <f>FORECAST(G18,$I$4:$I$13,$G$4:$G$13)</f>
        <v>21965.442424242425</v>
      </c>
      <c r="J18" s="121">
        <f t="shared" si="6"/>
        <v>5.0623785569778867E-2</v>
      </c>
      <c r="L18" s="119">
        <f t="shared" si="7"/>
        <v>15</v>
      </c>
      <c r="M18" s="120">
        <f t="shared" si="8"/>
        <v>47935</v>
      </c>
      <c r="N18" s="122">
        <f>FORECAST(L18,$N$4:$N$13,$L$4:$L$13)</f>
        <v>61.375031601967088</v>
      </c>
      <c r="O18" s="121">
        <f t="shared" si="0"/>
        <v>4.8098621683447584E-2</v>
      </c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9D70E-9799-428D-B409-B9E67C58DA1A}">
  <dimension ref="A1:K93"/>
  <sheetViews>
    <sheetView zoomScale="150" zoomScaleNormal="120" zoomScalePageLayoutView="120" workbookViewId="0">
      <pane xSplit="1" ySplit="1" topLeftCell="B8" activePane="bottomRight" state="frozen"/>
      <selection activeCell="C4" sqref="C4"/>
      <selection pane="topRight" activeCell="C4" sqref="C4"/>
      <selection pane="bottomLeft" activeCell="C4" sqref="C4"/>
      <selection pane="bottomRight" activeCell="B6" sqref="B6"/>
    </sheetView>
  </sheetViews>
  <sheetFormatPr defaultColWidth="8.77734375" defaultRowHeight="14.4" x14ac:dyDescent="0.3"/>
  <cols>
    <col min="1" max="1" width="27.6640625" style="81" bestFit="1" customWidth="1"/>
    <col min="2" max="11" width="13.44140625" style="81" bestFit="1" customWidth="1"/>
    <col min="12" max="16384" width="8.77734375" style="81"/>
  </cols>
  <sheetData>
    <row r="1" spans="1:11" s="80" customFormat="1" x14ac:dyDescent="0.3">
      <c r="A1" s="80" t="s">
        <v>151</v>
      </c>
      <c r="B1" s="80" t="s">
        <v>152</v>
      </c>
      <c r="E1" s="193" t="str">
        <f>IF(B2&lt;&gt;B3, "A NEW VERSION OF THE WORKSHEET IS AVAILABLE", "")</f>
        <v/>
      </c>
      <c r="F1" s="193"/>
      <c r="G1" s="193"/>
      <c r="H1" s="193"/>
      <c r="I1" s="193"/>
      <c r="J1" s="193"/>
      <c r="K1" s="193"/>
    </row>
    <row r="2" spans="1:11" x14ac:dyDescent="0.3">
      <c r="A2" s="80" t="s">
        <v>153</v>
      </c>
      <c r="B2" s="81">
        <v>2.1</v>
      </c>
      <c r="E2" s="194" t="s">
        <v>154</v>
      </c>
      <c r="F2" s="194"/>
      <c r="G2" s="194"/>
      <c r="H2" s="194"/>
      <c r="I2" s="194"/>
      <c r="J2" s="194"/>
      <c r="K2" s="194"/>
    </row>
    <row r="3" spans="1:11" x14ac:dyDescent="0.3">
      <c r="A3" s="80" t="s">
        <v>155</v>
      </c>
      <c r="B3" s="81">
        <v>2.1</v>
      </c>
    </row>
    <row r="4" spans="1:11" x14ac:dyDescent="0.3">
      <c r="A4" s="80"/>
    </row>
    <row r="5" spans="1:11" x14ac:dyDescent="0.3">
      <c r="A5" s="80" t="s">
        <v>156</v>
      </c>
    </row>
    <row r="6" spans="1:11" x14ac:dyDescent="0.3">
      <c r="A6" s="81" t="s">
        <v>157</v>
      </c>
      <c r="B6" s="81">
        <f>IF(B9&gt;0, B9/B8, 0)</f>
        <v>234.95912600076247</v>
      </c>
    </row>
    <row r="7" spans="1:11" x14ac:dyDescent="0.3">
      <c r="A7" s="81" t="s">
        <v>158</v>
      </c>
      <c r="B7" s="82">
        <v>1</v>
      </c>
    </row>
    <row r="8" spans="1:11" x14ac:dyDescent="0.3">
      <c r="A8" s="81" t="s">
        <v>159</v>
      </c>
      <c r="B8" s="82">
        <v>2098.4</v>
      </c>
    </row>
    <row r="9" spans="1:11" x14ac:dyDescent="0.3">
      <c r="A9" s="81" t="s">
        <v>160</v>
      </c>
      <c r="B9" s="82">
        <v>493038.23</v>
      </c>
    </row>
    <row r="15" spans="1:11" x14ac:dyDescent="0.3">
      <c r="A15" s="80" t="s">
        <v>161</v>
      </c>
    </row>
    <row r="16" spans="1:11" s="85" customFormat="1" x14ac:dyDescent="0.3">
      <c r="A16" s="83" t="s">
        <v>162</v>
      </c>
      <c r="B16" s="84">
        <v>42825</v>
      </c>
      <c r="C16" s="84">
        <v>43190</v>
      </c>
      <c r="D16" s="84">
        <v>43555</v>
      </c>
      <c r="E16" s="84">
        <v>43921</v>
      </c>
      <c r="F16" s="84">
        <v>44286</v>
      </c>
      <c r="G16" s="84">
        <v>44651</v>
      </c>
      <c r="H16" s="84">
        <v>45016</v>
      </c>
      <c r="I16" s="84">
        <v>45382</v>
      </c>
      <c r="J16" s="84">
        <v>45747</v>
      </c>
      <c r="K16" s="84">
        <v>46112</v>
      </c>
    </row>
    <row r="17" spans="1:11" s="86" customFormat="1" x14ac:dyDescent="0.3">
      <c r="A17" s="86" t="s">
        <v>163</v>
      </c>
      <c r="B17" s="82">
        <v>33162</v>
      </c>
      <c r="C17" s="82">
        <v>35545</v>
      </c>
      <c r="D17" s="82">
        <v>39310</v>
      </c>
      <c r="E17" s="82">
        <v>39783</v>
      </c>
      <c r="F17" s="82">
        <v>47028</v>
      </c>
      <c r="G17" s="82">
        <v>52446</v>
      </c>
      <c r="H17" s="82">
        <v>60580</v>
      </c>
      <c r="I17" s="82">
        <v>61896</v>
      </c>
      <c r="J17" s="82">
        <v>61328</v>
      </c>
      <c r="K17" s="82">
        <v>64468</v>
      </c>
    </row>
    <row r="18" spans="1:11" s="86" customFormat="1" x14ac:dyDescent="0.3">
      <c r="A18" s="81" t="s">
        <v>164</v>
      </c>
      <c r="B18" s="82">
        <v>13606</v>
      </c>
      <c r="C18" s="82">
        <v>14233</v>
      </c>
      <c r="D18" s="82">
        <v>15845</v>
      </c>
      <c r="E18" s="82">
        <v>15697</v>
      </c>
      <c r="F18" s="82">
        <v>20141</v>
      </c>
      <c r="G18" s="82">
        <v>22871</v>
      </c>
      <c r="H18" s="82">
        <v>28427</v>
      </c>
      <c r="I18" s="82">
        <v>26822</v>
      </c>
      <c r="J18" s="82">
        <v>26602</v>
      </c>
      <c r="K18" s="82">
        <v>29158</v>
      </c>
    </row>
    <row r="19" spans="1:11" s="86" customFormat="1" x14ac:dyDescent="0.3">
      <c r="A19" s="81" t="s">
        <v>165</v>
      </c>
      <c r="B19" s="82">
        <v>-144</v>
      </c>
      <c r="C19" s="82">
        <v>72</v>
      </c>
      <c r="D19" s="82">
        <v>-12</v>
      </c>
      <c r="E19" s="82">
        <v>108</v>
      </c>
      <c r="F19" s="82">
        <v>405</v>
      </c>
      <c r="G19" s="82">
        <v>22</v>
      </c>
      <c r="H19" s="82">
        <v>75</v>
      </c>
      <c r="I19" s="82">
        <v>11</v>
      </c>
      <c r="J19" s="82">
        <v>125</v>
      </c>
      <c r="K19" s="82">
        <v>429</v>
      </c>
    </row>
    <row r="20" spans="1:11" s="86" customFormat="1" x14ac:dyDescent="0.3">
      <c r="A20" s="81" t="s">
        <v>166</v>
      </c>
      <c r="B20" s="82">
        <v>295</v>
      </c>
      <c r="C20" s="82">
        <v>295</v>
      </c>
      <c r="D20" s="82">
        <v>308</v>
      </c>
      <c r="E20" s="82">
        <v>299</v>
      </c>
      <c r="F20" s="82">
        <v>339</v>
      </c>
      <c r="G20" s="82">
        <v>318</v>
      </c>
      <c r="H20" s="82">
        <v>384</v>
      </c>
      <c r="I20" s="82">
        <v>446</v>
      </c>
      <c r="J20" s="82">
        <v>403</v>
      </c>
      <c r="K20">
        <v>426</v>
      </c>
    </row>
    <row r="21" spans="1:11" s="86" customFormat="1" x14ac:dyDescent="0.3">
      <c r="A21" s="81" t="s">
        <v>167</v>
      </c>
      <c r="B21" s="82">
        <v>2887</v>
      </c>
      <c r="C21" s="82">
        <v>2998</v>
      </c>
      <c r="D21" s="82">
        <v>3041</v>
      </c>
      <c r="E21" s="82">
        <v>2906</v>
      </c>
      <c r="F21" s="82">
        <v>2868</v>
      </c>
      <c r="G21" s="82">
        <v>3354</v>
      </c>
      <c r="H21" s="82">
        <v>3791</v>
      </c>
      <c r="I21" s="82">
        <v>3385</v>
      </c>
      <c r="J21" s="82">
        <v>3687</v>
      </c>
      <c r="K21" s="82">
        <v>3304</v>
      </c>
    </row>
    <row r="22" spans="1:11" s="86" customFormat="1" x14ac:dyDescent="0.3">
      <c r="A22" s="81" t="s">
        <v>168</v>
      </c>
      <c r="B22" s="82">
        <v>1743</v>
      </c>
      <c r="C22" s="82">
        <v>1860</v>
      </c>
      <c r="D22" s="82">
        <v>1875</v>
      </c>
      <c r="E22" s="82">
        <v>1820</v>
      </c>
      <c r="F22" s="82">
        <v>2358</v>
      </c>
      <c r="G22" s="82">
        <v>2545</v>
      </c>
      <c r="H22" s="82">
        <v>2854</v>
      </c>
      <c r="I22" s="82">
        <v>3009</v>
      </c>
      <c r="J22" s="82">
        <v>2952</v>
      </c>
      <c r="K22" s="82">
        <v>3175</v>
      </c>
    </row>
    <row r="23" spans="1:11" s="86" customFormat="1" x14ac:dyDescent="0.3">
      <c r="A23" s="81" t="s">
        <v>169</v>
      </c>
      <c r="B23" s="82">
        <v>6689</v>
      </c>
      <c r="C23" s="82">
        <v>7252</v>
      </c>
      <c r="D23" s="82">
        <v>7796</v>
      </c>
      <c r="E23" s="82">
        <v>7620</v>
      </c>
      <c r="F23" s="82">
        <v>7906</v>
      </c>
      <c r="G23" s="82">
        <v>8164</v>
      </c>
      <c r="H23" s="82">
        <v>8785</v>
      </c>
      <c r="I23" s="82">
        <v>10780</v>
      </c>
      <c r="J23" s="82">
        <v>10145</v>
      </c>
      <c r="K23" s="82">
        <v>10744</v>
      </c>
    </row>
    <row r="24" spans="1:11" s="86" customFormat="1" x14ac:dyDescent="0.3">
      <c r="A24" s="81" t="s">
        <v>170</v>
      </c>
      <c r="B24" s="82">
        <v>1470</v>
      </c>
      <c r="C24" s="82">
        <v>1480</v>
      </c>
      <c r="D24" s="82">
        <v>1553</v>
      </c>
      <c r="E24" s="82">
        <v>1688</v>
      </c>
      <c r="F24" s="82">
        <v>2195</v>
      </c>
      <c r="G24" s="82">
        <v>2359</v>
      </c>
      <c r="H24" s="82">
        <v>2267</v>
      </c>
      <c r="I24" s="82">
        <v>2806</v>
      </c>
      <c r="J24" s="82">
        <v>2966</v>
      </c>
      <c r="K24" s="82">
        <v>3051</v>
      </c>
    </row>
    <row r="25" spans="1:11" s="86" customFormat="1" x14ac:dyDescent="0.3">
      <c r="A25" s="86" t="s">
        <v>171</v>
      </c>
      <c r="B25" s="82">
        <v>606</v>
      </c>
      <c r="C25" s="82">
        <v>353</v>
      </c>
      <c r="D25" s="82">
        <v>322</v>
      </c>
      <c r="E25" s="82">
        <v>424</v>
      </c>
      <c r="F25" s="82">
        <v>170</v>
      </c>
      <c r="G25" s="82">
        <v>219</v>
      </c>
      <c r="H25" s="82">
        <v>448</v>
      </c>
      <c r="I25" s="82">
        <v>817</v>
      </c>
      <c r="J25" s="82">
        <v>1355</v>
      </c>
      <c r="K25" s="82">
        <v>4923</v>
      </c>
    </row>
    <row r="26" spans="1:11" s="86" customFormat="1" x14ac:dyDescent="0.3">
      <c r="A26" s="86" t="s">
        <v>172</v>
      </c>
      <c r="B26" s="82">
        <v>432</v>
      </c>
      <c r="C26" s="82">
        <v>520</v>
      </c>
      <c r="D26" s="82">
        <v>565</v>
      </c>
      <c r="E26" s="82">
        <v>1002</v>
      </c>
      <c r="F26" s="82">
        <v>1074</v>
      </c>
      <c r="G26" s="82">
        <v>1091</v>
      </c>
      <c r="H26" s="82">
        <v>1137</v>
      </c>
      <c r="I26" s="82">
        <v>1216</v>
      </c>
      <c r="J26" s="82">
        <v>1253</v>
      </c>
      <c r="K26" s="82">
        <v>1333</v>
      </c>
    </row>
    <row r="27" spans="1:11" s="86" customFormat="1" x14ac:dyDescent="0.3">
      <c r="A27" s="86" t="s">
        <v>173</v>
      </c>
      <c r="B27" s="82">
        <v>35</v>
      </c>
      <c r="C27" s="82">
        <v>26</v>
      </c>
      <c r="D27" s="82">
        <v>33</v>
      </c>
      <c r="E27" s="82">
        <v>118</v>
      </c>
      <c r="F27" s="82">
        <v>117</v>
      </c>
      <c r="G27" s="82">
        <v>106</v>
      </c>
      <c r="H27" s="82">
        <v>114</v>
      </c>
      <c r="I27" s="82">
        <v>334</v>
      </c>
      <c r="J27" s="82">
        <v>381</v>
      </c>
      <c r="K27" s="82">
        <v>410</v>
      </c>
    </row>
    <row r="28" spans="1:11" s="86" customFormat="1" x14ac:dyDescent="0.3">
      <c r="A28" s="86" t="s">
        <v>174</v>
      </c>
      <c r="B28" s="82">
        <v>6467</v>
      </c>
      <c r="C28" s="82">
        <v>7306</v>
      </c>
      <c r="D28" s="82">
        <v>8604</v>
      </c>
      <c r="E28" s="82">
        <v>9165</v>
      </c>
      <c r="F28" s="82">
        <v>10605</v>
      </c>
      <c r="G28" s="82">
        <v>11879</v>
      </c>
      <c r="H28" s="82">
        <v>13344</v>
      </c>
      <c r="I28" s="82">
        <v>13926</v>
      </c>
      <c r="J28" s="82">
        <v>14419</v>
      </c>
      <c r="K28" s="82">
        <v>18219</v>
      </c>
    </row>
    <row r="29" spans="1:11" s="86" customFormat="1" x14ac:dyDescent="0.3">
      <c r="A29" s="86" t="s">
        <v>175</v>
      </c>
      <c r="B29" s="82">
        <v>1977</v>
      </c>
      <c r="C29" s="82">
        <v>2079</v>
      </c>
      <c r="D29" s="82">
        <v>2544</v>
      </c>
      <c r="E29" s="82">
        <v>2409</v>
      </c>
      <c r="F29" s="82">
        <v>2606</v>
      </c>
      <c r="G29" s="82">
        <v>2987</v>
      </c>
      <c r="H29" s="82">
        <v>3201</v>
      </c>
      <c r="I29" s="82">
        <v>3644</v>
      </c>
      <c r="J29" s="82">
        <v>3748</v>
      </c>
      <c r="K29" s="82">
        <v>3160</v>
      </c>
    </row>
    <row r="30" spans="1:11" s="86" customFormat="1" x14ac:dyDescent="0.3">
      <c r="A30" s="86" t="s">
        <v>176</v>
      </c>
      <c r="B30" s="82">
        <v>4476</v>
      </c>
      <c r="C30" s="82">
        <v>5214</v>
      </c>
      <c r="D30" s="82">
        <v>6054</v>
      </c>
      <c r="E30" s="82">
        <v>6748</v>
      </c>
      <c r="F30" s="82">
        <v>7995</v>
      </c>
      <c r="G30" s="82">
        <v>8879</v>
      </c>
      <c r="H30" s="82">
        <v>10120</v>
      </c>
      <c r="I30" s="82">
        <v>10277</v>
      </c>
      <c r="J30" s="82">
        <v>10649</v>
      </c>
      <c r="K30" s="82">
        <v>15040</v>
      </c>
    </row>
    <row r="31" spans="1:11" s="86" customFormat="1" x14ac:dyDescent="0.3">
      <c r="A31" s="86" t="s">
        <v>177</v>
      </c>
      <c r="B31" s="82">
        <v>3672</v>
      </c>
      <c r="C31" s="82">
        <v>4320</v>
      </c>
      <c r="D31" s="82">
        <v>4752</v>
      </c>
      <c r="E31" s="82">
        <v>5400</v>
      </c>
      <c r="F31" s="82">
        <v>9517.5</v>
      </c>
      <c r="G31" s="82">
        <v>7990</v>
      </c>
      <c r="H31" s="82">
        <v>9165</v>
      </c>
      <c r="I31" s="82">
        <v>9870</v>
      </c>
      <c r="J31" s="82">
        <v>12455</v>
      </c>
      <c r="K31" s="82">
        <v>9635</v>
      </c>
    </row>
    <row r="32" spans="1:11" s="86" customFormat="1" x14ac:dyDescent="0.3"/>
    <row r="33" spans="1:11" x14ac:dyDescent="0.3">
      <c r="A33" s="86" t="s">
        <v>316</v>
      </c>
      <c r="B33" s="81">
        <f>B30+B29+B27+B26</f>
        <v>6920</v>
      </c>
      <c r="C33" s="81">
        <f t="shared" ref="C33:K33" si="0">C30+C29+C27+C26</f>
        <v>7839</v>
      </c>
      <c r="D33" s="81">
        <f t="shared" si="0"/>
        <v>9196</v>
      </c>
      <c r="E33" s="81">
        <f t="shared" si="0"/>
        <v>10277</v>
      </c>
      <c r="F33" s="81">
        <f t="shared" si="0"/>
        <v>11792</v>
      </c>
      <c r="G33" s="81">
        <f t="shared" si="0"/>
        <v>13063</v>
      </c>
      <c r="H33" s="81">
        <f t="shared" si="0"/>
        <v>14572</v>
      </c>
      <c r="I33" s="81">
        <f t="shared" si="0"/>
        <v>15471</v>
      </c>
      <c r="J33" s="81">
        <f t="shared" si="0"/>
        <v>16031</v>
      </c>
      <c r="K33" s="81">
        <f t="shared" si="0"/>
        <v>19943</v>
      </c>
    </row>
    <row r="34" spans="1:11" x14ac:dyDescent="0.3">
      <c r="A34" s="86"/>
    </row>
    <row r="35" spans="1:11" x14ac:dyDescent="0.3">
      <c r="A35" s="86"/>
    </row>
    <row r="36" spans="1:11" x14ac:dyDescent="0.3">
      <c r="A36" s="86"/>
    </row>
    <row r="37" spans="1:11" x14ac:dyDescent="0.3">
      <c r="A37" s="86"/>
    </row>
    <row r="38" spans="1:11" x14ac:dyDescent="0.3">
      <c r="A38" s="86"/>
    </row>
    <row r="39" spans="1:11" x14ac:dyDescent="0.3">
      <c r="A39" s="86"/>
    </row>
    <row r="40" spans="1:11" x14ac:dyDescent="0.3">
      <c r="A40" s="80" t="s">
        <v>178</v>
      </c>
    </row>
    <row r="41" spans="1:11" s="85" customFormat="1" x14ac:dyDescent="0.3">
      <c r="A41" s="83" t="s">
        <v>162</v>
      </c>
      <c r="B41" s="84">
        <v>45291</v>
      </c>
      <c r="C41" s="84">
        <v>45382</v>
      </c>
      <c r="D41" s="84">
        <v>45473</v>
      </c>
      <c r="E41" s="84">
        <v>45565</v>
      </c>
      <c r="F41" s="84">
        <v>45657</v>
      </c>
      <c r="G41" s="84">
        <v>45747</v>
      </c>
      <c r="H41" s="84">
        <v>45838</v>
      </c>
      <c r="I41" s="84">
        <v>45930</v>
      </c>
      <c r="J41" s="84">
        <v>46022</v>
      </c>
      <c r="K41" s="84">
        <v>46112</v>
      </c>
    </row>
    <row r="42" spans="1:11" s="86" customFormat="1" x14ac:dyDescent="0.3">
      <c r="A42" s="86" t="s">
        <v>163</v>
      </c>
      <c r="B42" s="82">
        <v>15567</v>
      </c>
      <c r="C42" s="82">
        <v>15210</v>
      </c>
      <c r="D42" s="82">
        <v>15707</v>
      </c>
      <c r="E42" s="82">
        <v>15926</v>
      </c>
      <c r="F42" s="82">
        <v>15556</v>
      </c>
      <c r="G42" s="82">
        <v>15190</v>
      </c>
      <c r="H42" s="82">
        <v>16514</v>
      </c>
      <c r="I42" s="82">
        <v>15919</v>
      </c>
      <c r="J42" s="82">
        <v>16441</v>
      </c>
      <c r="K42" s="82">
        <v>16351</v>
      </c>
    </row>
    <row r="43" spans="1:11" s="86" customFormat="1" x14ac:dyDescent="0.3">
      <c r="A43" s="86" t="s">
        <v>179</v>
      </c>
      <c r="B43" s="82">
        <v>11902</v>
      </c>
      <c r="C43" s="82">
        <v>11675</v>
      </c>
      <c r="D43" s="82">
        <v>11965</v>
      </c>
      <c r="E43" s="82">
        <v>12139</v>
      </c>
      <c r="F43" s="82">
        <v>11867</v>
      </c>
      <c r="G43" s="82">
        <v>11572</v>
      </c>
      <c r="H43" s="82">
        <v>12797</v>
      </c>
      <c r="I43" s="82">
        <v>12137</v>
      </c>
      <c r="J43" s="82">
        <v>12660</v>
      </c>
      <c r="K43" s="82">
        <v>12514</v>
      </c>
    </row>
    <row r="44" spans="1:11" s="86" customFormat="1" x14ac:dyDescent="0.3">
      <c r="A44" s="86" t="s">
        <v>171</v>
      </c>
      <c r="B44" s="82">
        <v>184</v>
      </c>
      <c r="C44" s="82">
        <v>309</v>
      </c>
      <c r="D44" s="82">
        <v>209</v>
      </c>
      <c r="E44" s="82">
        <v>203</v>
      </c>
      <c r="F44" s="82">
        <v>733</v>
      </c>
      <c r="G44" s="82">
        <v>149</v>
      </c>
      <c r="H44" s="82">
        <v>74</v>
      </c>
      <c r="I44" s="82">
        <v>269</v>
      </c>
      <c r="J44" s="82">
        <v>4048</v>
      </c>
      <c r="K44" s="82">
        <v>503</v>
      </c>
    </row>
    <row r="45" spans="1:11" s="86" customFormat="1" x14ac:dyDescent="0.3">
      <c r="A45" s="86" t="s">
        <v>172</v>
      </c>
      <c r="B45" s="82">
        <v>313</v>
      </c>
      <c r="C45" s="82">
        <v>320</v>
      </c>
      <c r="D45" s="82">
        <v>329</v>
      </c>
      <c r="E45" s="82">
        <v>338</v>
      </c>
      <c r="F45" s="82">
        <v>318</v>
      </c>
      <c r="G45" s="82">
        <v>318</v>
      </c>
      <c r="H45" s="82">
        <v>361</v>
      </c>
      <c r="I45" s="82">
        <v>322</v>
      </c>
      <c r="J45" s="82">
        <v>337</v>
      </c>
      <c r="K45" s="82">
        <v>348</v>
      </c>
    </row>
    <row r="46" spans="1:11" s="86" customFormat="1" x14ac:dyDescent="0.3">
      <c r="A46" s="86" t="s">
        <v>173</v>
      </c>
      <c r="B46" s="82">
        <v>91</v>
      </c>
      <c r="C46" s="82">
        <v>105</v>
      </c>
      <c r="D46" s="82">
        <v>93</v>
      </c>
      <c r="E46" s="82">
        <v>110</v>
      </c>
      <c r="F46" s="82">
        <v>109</v>
      </c>
      <c r="G46" s="82">
        <v>77</v>
      </c>
      <c r="H46" s="82">
        <v>127</v>
      </c>
      <c r="I46" s="82">
        <v>124</v>
      </c>
      <c r="J46" s="82">
        <v>88</v>
      </c>
      <c r="K46" s="82">
        <v>76</v>
      </c>
    </row>
    <row r="47" spans="1:11" s="86" customFormat="1" x14ac:dyDescent="0.3">
      <c r="A47" s="86" t="s">
        <v>174</v>
      </c>
      <c r="B47" s="82">
        <v>3445</v>
      </c>
      <c r="C47" s="82">
        <v>3419</v>
      </c>
      <c r="D47" s="82">
        <v>3529</v>
      </c>
      <c r="E47" s="82">
        <v>3542</v>
      </c>
      <c r="F47" s="82">
        <v>3995</v>
      </c>
      <c r="G47" s="82">
        <v>3372</v>
      </c>
      <c r="H47" s="82">
        <v>3303</v>
      </c>
      <c r="I47" s="82">
        <v>3605</v>
      </c>
      <c r="J47" s="82">
        <v>7404</v>
      </c>
      <c r="K47" s="82">
        <v>3916</v>
      </c>
    </row>
    <row r="48" spans="1:11" s="86" customFormat="1" x14ac:dyDescent="0.3">
      <c r="A48" s="86" t="s">
        <v>175</v>
      </c>
      <c r="B48" s="82">
        <v>937</v>
      </c>
      <c r="C48" s="82">
        <v>858</v>
      </c>
      <c r="D48" s="82">
        <v>917</v>
      </c>
      <c r="E48" s="82">
        <v>947</v>
      </c>
      <c r="F48" s="82">
        <v>1006</v>
      </c>
      <c r="G48" s="82">
        <v>897</v>
      </c>
      <c r="H48" s="82">
        <v>535</v>
      </c>
      <c r="I48" s="82">
        <v>911</v>
      </c>
      <c r="J48" s="82">
        <v>801</v>
      </c>
      <c r="K48" s="82">
        <v>922</v>
      </c>
    </row>
    <row r="49" spans="1:11" s="86" customFormat="1" x14ac:dyDescent="0.3">
      <c r="A49" s="86" t="s">
        <v>176</v>
      </c>
      <c r="B49" s="82">
        <v>2509</v>
      </c>
      <c r="C49" s="82">
        <v>2558</v>
      </c>
      <c r="D49" s="82">
        <v>2610</v>
      </c>
      <c r="E49" s="82">
        <v>2591</v>
      </c>
      <c r="F49" s="82">
        <v>2984</v>
      </c>
      <c r="G49" s="82">
        <v>2464</v>
      </c>
      <c r="H49" s="82">
        <v>2756</v>
      </c>
      <c r="I49" s="82">
        <v>2685</v>
      </c>
      <c r="J49" s="82">
        <v>6607</v>
      </c>
      <c r="K49" s="82">
        <v>2992</v>
      </c>
    </row>
    <row r="50" spans="1:11" x14ac:dyDescent="0.3">
      <c r="A50" s="86" t="s">
        <v>180</v>
      </c>
      <c r="B50" s="82">
        <v>3665</v>
      </c>
      <c r="C50" s="82">
        <v>3535</v>
      </c>
      <c r="D50" s="82">
        <v>3742</v>
      </c>
      <c r="E50" s="82">
        <v>3787</v>
      </c>
      <c r="F50" s="82">
        <v>3689</v>
      </c>
      <c r="G50" s="82">
        <v>3618</v>
      </c>
      <c r="H50" s="82">
        <v>3717</v>
      </c>
      <c r="I50" s="82">
        <v>3782</v>
      </c>
      <c r="J50" s="82">
        <v>3781</v>
      </c>
      <c r="K50" s="82">
        <v>3837</v>
      </c>
    </row>
    <row r="51" spans="1:11" x14ac:dyDescent="0.3">
      <c r="A51" s="86"/>
    </row>
    <row r="52" spans="1:11" x14ac:dyDescent="0.3">
      <c r="A52" s="86"/>
    </row>
    <row r="53" spans="1:11" x14ac:dyDescent="0.3">
      <c r="A53" s="86"/>
    </row>
    <row r="54" spans="1:11" x14ac:dyDescent="0.3">
      <c r="A54" s="86"/>
    </row>
    <row r="55" spans="1:11" x14ac:dyDescent="0.3">
      <c r="A55" s="80" t="s">
        <v>181</v>
      </c>
    </row>
    <row r="56" spans="1:11" s="85" customFormat="1" x14ac:dyDescent="0.3">
      <c r="A56" s="83" t="s">
        <v>162</v>
      </c>
      <c r="B56" s="84">
        <v>42825</v>
      </c>
      <c r="C56" s="84">
        <v>43190</v>
      </c>
      <c r="D56" s="84">
        <v>43555</v>
      </c>
      <c r="E56" s="84">
        <v>43921</v>
      </c>
      <c r="F56" s="84">
        <v>44286</v>
      </c>
      <c r="G56" s="84">
        <v>44651</v>
      </c>
      <c r="H56" s="84">
        <v>45016</v>
      </c>
      <c r="I56" s="84">
        <v>45382</v>
      </c>
      <c r="J56" s="84">
        <v>45747</v>
      </c>
      <c r="K56" s="84">
        <v>46112</v>
      </c>
    </row>
    <row r="57" spans="1:11" x14ac:dyDescent="0.3">
      <c r="A57" s="86" t="s">
        <v>182</v>
      </c>
      <c r="B57" s="82">
        <v>216</v>
      </c>
      <c r="C57" s="82">
        <v>216</v>
      </c>
      <c r="D57" s="82">
        <v>216</v>
      </c>
      <c r="E57" s="82">
        <v>216</v>
      </c>
      <c r="F57" s="82">
        <v>235</v>
      </c>
      <c r="G57" s="82">
        <v>235</v>
      </c>
      <c r="H57" s="82">
        <v>235</v>
      </c>
      <c r="I57" s="82">
        <v>235</v>
      </c>
      <c r="J57" s="82">
        <v>235</v>
      </c>
      <c r="K57" s="82">
        <v>235</v>
      </c>
    </row>
    <row r="58" spans="1:11" x14ac:dyDescent="0.3">
      <c r="A58" s="86" t="s">
        <v>97</v>
      </c>
      <c r="B58" s="82">
        <v>6528</v>
      </c>
      <c r="C58" s="82">
        <v>7065</v>
      </c>
      <c r="D58" s="82">
        <v>7651</v>
      </c>
      <c r="E58" s="82">
        <v>8013</v>
      </c>
      <c r="F58" s="82">
        <v>47439</v>
      </c>
      <c r="G58" s="82">
        <v>48826</v>
      </c>
      <c r="H58" s="82">
        <v>50069</v>
      </c>
      <c r="I58" s="82">
        <v>50983</v>
      </c>
      <c r="J58" s="82">
        <v>49167</v>
      </c>
      <c r="K58" s="82">
        <v>48504</v>
      </c>
    </row>
    <row r="59" spans="1:11" x14ac:dyDescent="0.3">
      <c r="A59" s="86" t="s">
        <v>183</v>
      </c>
      <c r="B59" s="82">
        <v>277</v>
      </c>
      <c r="C59" s="82"/>
      <c r="D59" s="82">
        <v>99</v>
      </c>
      <c r="E59" s="82"/>
      <c r="F59" s="82"/>
      <c r="G59" s="82">
        <v>1043</v>
      </c>
      <c r="H59" s="82">
        <v>1219</v>
      </c>
      <c r="I59" s="82">
        <v>1484</v>
      </c>
      <c r="J59" s="82">
        <v>1648</v>
      </c>
      <c r="K59" s="82">
        <v>1478</v>
      </c>
    </row>
    <row r="60" spans="1:11" x14ac:dyDescent="0.3">
      <c r="A60" s="86" t="s">
        <v>184</v>
      </c>
      <c r="B60" s="82">
        <v>8685</v>
      </c>
      <c r="C60" s="82">
        <v>10581</v>
      </c>
      <c r="D60" s="82">
        <v>10663</v>
      </c>
      <c r="E60" s="82">
        <v>11924</v>
      </c>
      <c r="F60" s="82">
        <v>21066</v>
      </c>
      <c r="G60" s="82">
        <v>20402</v>
      </c>
      <c r="H60" s="82">
        <v>21554</v>
      </c>
      <c r="I60" s="82">
        <v>25787</v>
      </c>
      <c r="J60" s="82">
        <v>28813</v>
      </c>
      <c r="K60" s="82">
        <v>29521</v>
      </c>
    </row>
    <row r="61" spans="1:11" s="80" customFormat="1" x14ac:dyDescent="0.3">
      <c r="A61" s="80" t="s">
        <v>69</v>
      </c>
      <c r="B61" s="82">
        <v>15706</v>
      </c>
      <c r="C61" s="82">
        <v>17862</v>
      </c>
      <c r="D61" s="82">
        <v>18629</v>
      </c>
      <c r="E61" s="82">
        <v>20153</v>
      </c>
      <c r="F61" s="82">
        <v>68740</v>
      </c>
      <c r="G61" s="82">
        <v>70506</v>
      </c>
      <c r="H61" s="82">
        <v>73077</v>
      </c>
      <c r="I61" s="82">
        <v>78489</v>
      </c>
      <c r="J61" s="82">
        <v>79863</v>
      </c>
      <c r="K61" s="82">
        <v>79738</v>
      </c>
    </row>
    <row r="62" spans="1:11" x14ac:dyDescent="0.3">
      <c r="A62" s="86" t="s">
        <v>128</v>
      </c>
      <c r="B62" s="82">
        <v>4419</v>
      </c>
      <c r="C62" s="82">
        <v>4528</v>
      </c>
      <c r="D62" s="82">
        <v>4715</v>
      </c>
      <c r="E62" s="82">
        <v>5479</v>
      </c>
      <c r="F62" s="82">
        <v>51443</v>
      </c>
      <c r="G62" s="82">
        <v>51473</v>
      </c>
      <c r="H62" s="82">
        <v>52678</v>
      </c>
      <c r="I62" s="82">
        <v>53744</v>
      </c>
      <c r="J62" s="82">
        <v>54335</v>
      </c>
      <c r="K62" s="82">
        <v>57428</v>
      </c>
    </row>
    <row r="63" spans="1:11" x14ac:dyDescent="0.3">
      <c r="A63" s="86" t="s">
        <v>185</v>
      </c>
      <c r="B63" s="82">
        <v>229</v>
      </c>
      <c r="C63" s="82">
        <v>461</v>
      </c>
      <c r="D63" s="82">
        <v>406</v>
      </c>
      <c r="E63" s="82">
        <v>597</v>
      </c>
      <c r="F63" s="82">
        <v>745</v>
      </c>
      <c r="G63" s="82">
        <v>1313</v>
      </c>
      <c r="H63" s="82">
        <v>1132</v>
      </c>
      <c r="I63" s="82">
        <v>1025</v>
      </c>
      <c r="J63" s="82">
        <v>1009</v>
      </c>
      <c r="K63" s="82">
        <v>880</v>
      </c>
    </row>
    <row r="64" spans="1:11" x14ac:dyDescent="0.3">
      <c r="A64" s="86" t="s">
        <v>117</v>
      </c>
      <c r="B64" s="82">
        <v>3794</v>
      </c>
      <c r="C64" s="82">
        <v>2873</v>
      </c>
      <c r="D64" s="82">
        <v>2716</v>
      </c>
      <c r="E64" s="82">
        <v>1255</v>
      </c>
      <c r="F64" s="82">
        <v>2709</v>
      </c>
      <c r="G64" s="82">
        <v>3521</v>
      </c>
      <c r="H64" s="82">
        <v>2882</v>
      </c>
      <c r="I64" s="82">
        <v>4625</v>
      </c>
      <c r="J64" s="82">
        <v>3810</v>
      </c>
      <c r="K64" s="82">
        <v>4359</v>
      </c>
    </row>
    <row r="65" spans="1:11" x14ac:dyDescent="0.3">
      <c r="A65" s="86" t="s">
        <v>186</v>
      </c>
      <c r="B65" s="82">
        <v>7264</v>
      </c>
      <c r="C65" s="82">
        <v>10000</v>
      </c>
      <c r="D65" s="82">
        <v>10792</v>
      </c>
      <c r="E65" s="82">
        <v>12822</v>
      </c>
      <c r="F65" s="82">
        <v>13843</v>
      </c>
      <c r="G65" s="82">
        <v>14199</v>
      </c>
      <c r="H65" s="82">
        <v>16385</v>
      </c>
      <c r="I65" s="82">
        <v>19095</v>
      </c>
      <c r="J65" s="82">
        <v>20709</v>
      </c>
      <c r="K65" s="82">
        <v>17071</v>
      </c>
    </row>
    <row r="66" spans="1:11" s="80" customFormat="1" x14ac:dyDescent="0.3">
      <c r="A66" s="80" t="s">
        <v>69</v>
      </c>
      <c r="B66" s="82">
        <v>15706</v>
      </c>
      <c r="C66" s="82">
        <v>17862</v>
      </c>
      <c r="D66" s="82">
        <v>18629</v>
      </c>
      <c r="E66" s="82">
        <v>20153</v>
      </c>
      <c r="F66" s="82">
        <v>68740</v>
      </c>
      <c r="G66" s="82">
        <v>70506</v>
      </c>
      <c r="H66" s="82">
        <v>73077</v>
      </c>
      <c r="I66" s="82">
        <v>78489</v>
      </c>
      <c r="J66" s="82">
        <v>79863</v>
      </c>
      <c r="K66" s="82">
        <v>79738</v>
      </c>
    </row>
    <row r="67" spans="1:11" s="86" customFormat="1" x14ac:dyDescent="0.3">
      <c r="A67" s="86" t="s">
        <v>187</v>
      </c>
      <c r="B67" s="82">
        <v>1085</v>
      </c>
      <c r="C67" s="82">
        <v>1310</v>
      </c>
      <c r="D67" s="82">
        <v>1816</v>
      </c>
      <c r="E67" s="82">
        <v>1149</v>
      </c>
      <c r="F67" s="82">
        <v>1758</v>
      </c>
      <c r="G67" s="82">
        <v>2236</v>
      </c>
      <c r="H67" s="82">
        <v>3079</v>
      </c>
      <c r="I67" s="82">
        <v>2997</v>
      </c>
      <c r="J67" s="82">
        <v>3819</v>
      </c>
      <c r="K67" s="82">
        <v>3379</v>
      </c>
    </row>
    <row r="68" spans="1:11" x14ac:dyDescent="0.3">
      <c r="A68" s="86" t="s">
        <v>188</v>
      </c>
      <c r="B68" s="82">
        <v>2541</v>
      </c>
      <c r="C68" s="82">
        <v>2513</v>
      </c>
      <c r="D68" s="82">
        <v>2574</v>
      </c>
      <c r="E68" s="82">
        <v>2767</v>
      </c>
      <c r="F68" s="82">
        <v>3579</v>
      </c>
      <c r="G68" s="82">
        <v>4096</v>
      </c>
      <c r="H68" s="82">
        <v>4251</v>
      </c>
      <c r="I68" s="82">
        <v>4022</v>
      </c>
      <c r="J68" s="82">
        <v>4415</v>
      </c>
      <c r="K68" s="82">
        <v>4789</v>
      </c>
    </row>
    <row r="69" spans="1:11" x14ac:dyDescent="0.3">
      <c r="A69" s="81" t="s">
        <v>189</v>
      </c>
      <c r="B69" s="82">
        <v>1828</v>
      </c>
      <c r="C69" s="82">
        <v>3485</v>
      </c>
      <c r="D69" s="82">
        <v>3757</v>
      </c>
      <c r="E69" s="82">
        <v>5113</v>
      </c>
      <c r="F69" s="82">
        <v>4471</v>
      </c>
      <c r="G69" s="82">
        <v>3846</v>
      </c>
      <c r="H69" s="82">
        <v>4678</v>
      </c>
      <c r="I69" s="82">
        <v>7559</v>
      </c>
      <c r="J69" s="82">
        <v>7554</v>
      </c>
      <c r="K69" s="82">
        <v>3248</v>
      </c>
    </row>
    <row r="70" spans="1:11" x14ac:dyDescent="0.3">
      <c r="A70" s="81" t="s">
        <v>190</v>
      </c>
      <c r="B70" s="82">
        <v>2164349639</v>
      </c>
      <c r="C70" s="82">
        <v>2164528777</v>
      </c>
      <c r="D70" s="82">
        <v>2164704405</v>
      </c>
      <c r="E70" s="82">
        <v>2164704405</v>
      </c>
      <c r="F70" s="82">
        <v>2349567819</v>
      </c>
      <c r="G70" s="82">
        <v>2349591262</v>
      </c>
      <c r="H70" s="82">
        <v>2349591262</v>
      </c>
      <c r="I70" s="82">
        <v>2349591262</v>
      </c>
      <c r="J70" s="82">
        <v>2349591262</v>
      </c>
      <c r="K70" s="82">
        <v>2349591262</v>
      </c>
    </row>
    <row r="71" spans="1:11" x14ac:dyDescent="0.3">
      <c r="A71" s="81" t="s">
        <v>191</v>
      </c>
    </row>
    <row r="72" spans="1:11" x14ac:dyDescent="0.3">
      <c r="A72" s="81" t="s">
        <v>192</v>
      </c>
      <c r="B72" s="82">
        <v>1</v>
      </c>
      <c r="C72" s="82">
        <v>1</v>
      </c>
      <c r="D72" s="82">
        <v>1</v>
      </c>
      <c r="E72" s="82">
        <v>1</v>
      </c>
      <c r="F72" s="82">
        <v>1</v>
      </c>
      <c r="G72" s="82">
        <v>1</v>
      </c>
      <c r="H72" s="82">
        <v>1</v>
      </c>
      <c r="I72" s="82">
        <v>1</v>
      </c>
      <c r="J72" s="82">
        <v>1</v>
      </c>
      <c r="K72" s="82">
        <v>1</v>
      </c>
    </row>
    <row r="74" spans="1:11" x14ac:dyDescent="0.3">
      <c r="A74" s="86"/>
    </row>
    <row r="75" spans="1:11" x14ac:dyDescent="0.3">
      <c r="A75" s="86"/>
    </row>
    <row r="76" spans="1:11" x14ac:dyDescent="0.3">
      <c r="A76" s="86"/>
    </row>
    <row r="77" spans="1:11" x14ac:dyDescent="0.3">
      <c r="A77" s="86"/>
    </row>
    <row r="78" spans="1:11" x14ac:dyDescent="0.3">
      <c r="A78" s="86"/>
    </row>
    <row r="79" spans="1:11" x14ac:dyDescent="0.3">
      <c r="A79" s="86"/>
    </row>
    <row r="80" spans="1:11" x14ac:dyDescent="0.3">
      <c r="A80" s="80" t="s">
        <v>193</v>
      </c>
    </row>
    <row r="81" spans="1:11" s="85" customFormat="1" x14ac:dyDescent="0.3">
      <c r="A81" s="83" t="s">
        <v>162</v>
      </c>
      <c r="B81" s="84">
        <v>42825</v>
      </c>
      <c r="C81" s="84">
        <v>43190</v>
      </c>
      <c r="D81" s="84">
        <v>43555</v>
      </c>
      <c r="E81" s="84">
        <v>43921</v>
      </c>
      <c r="F81" s="84">
        <v>44286</v>
      </c>
      <c r="G81" s="84">
        <v>44651</v>
      </c>
      <c r="H81" s="84">
        <v>45016</v>
      </c>
      <c r="I81" s="84">
        <v>45382</v>
      </c>
      <c r="J81" s="84">
        <v>45747</v>
      </c>
      <c r="K81" s="84">
        <v>46112</v>
      </c>
    </row>
    <row r="82" spans="1:11" s="80" customFormat="1" x14ac:dyDescent="0.3">
      <c r="A82" s="86" t="s">
        <v>194</v>
      </c>
      <c r="B82" s="82">
        <v>5185</v>
      </c>
      <c r="C82" s="82">
        <v>6059</v>
      </c>
      <c r="D82" s="82">
        <v>5800</v>
      </c>
      <c r="E82" s="82">
        <v>7623</v>
      </c>
      <c r="F82" s="82">
        <v>9163</v>
      </c>
      <c r="G82" s="82">
        <v>9048</v>
      </c>
      <c r="H82" s="82">
        <v>9991</v>
      </c>
      <c r="I82" s="82">
        <v>15469</v>
      </c>
      <c r="J82" s="82">
        <v>11886</v>
      </c>
      <c r="K82" s="82">
        <v>10999</v>
      </c>
    </row>
    <row r="83" spans="1:11" s="86" customFormat="1" x14ac:dyDescent="0.3">
      <c r="A83" s="86" t="s">
        <v>195</v>
      </c>
      <c r="B83" s="82">
        <v>-1173</v>
      </c>
      <c r="C83" s="82">
        <v>-1063</v>
      </c>
      <c r="D83" s="82">
        <v>-438</v>
      </c>
      <c r="E83" s="82">
        <v>1791</v>
      </c>
      <c r="F83" s="82">
        <v>-1228</v>
      </c>
      <c r="G83" s="82">
        <v>-1728</v>
      </c>
      <c r="H83" s="82">
        <v>-1484</v>
      </c>
      <c r="I83" s="82">
        <v>-5324</v>
      </c>
      <c r="J83" s="82">
        <v>6473</v>
      </c>
      <c r="K83" s="82">
        <v>-3676</v>
      </c>
    </row>
    <row r="84" spans="1:11" s="86" customFormat="1" x14ac:dyDescent="0.3">
      <c r="A84" s="86" t="s">
        <v>196</v>
      </c>
      <c r="B84" s="82">
        <v>-4214</v>
      </c>
      <c r="C84" s="82">
        <v>-4975</v>
      </c>
      <c r="D84" s="82">
        <v>-5390</v>
      </c>
      <c r="E84" s="82">
        <v>-6819</v>
      </c>
      <c r="F84" s="82">
        <v>-9309</v>
      </c>
      <c r="G84" s="82">
        <v>-8015</v>
      </c>
      <c r="H84" s="82">
        <v>-8953</v>
      </c>
      <c r="I84" s="82">
        <v>-10034</v>
      </c>
      <c r="J84" s="82">
        <v>-13101</v>
      </c>
      <c r="K84" s="82">
        <v>-10810</v>
      </c>
    </row>
    <row r="85" spans="1:11" s="80" customFormat="1" x14ac:dyDescent="0.3">
      <c r="A85" s="86" t="s">
        <v>197</v>
      </c>
      <c r="B85" s="82">
        <v>-202</v>
      </c>
      <c r="C85" s="82">
        <v>21</v>
      </c>
      <c r="D85" s="82">
        <v>-28</v>
      </c>
      <c r="E85" s="82">
        <v>2595</v>
      </c>
      <c r="F85" s="82">
        <v>-1374</v>
      </c>
      <c r="G85" s="82">
        <v>-695</v>
      </c>
      <c r="H85" s="82">
        <v>-446</v>
      </c>
      <c r="I85" s="82">
        <v>111</v>
      </c>
      <c r="J85" s="82">
        <v>5258</v>
      </c>
      <c r="K85" s="82">
        <v>-3487</v>
      </c>
    </row>
    <row r="86" spans="1:11" x14ac:dyDescent="0.3">
      <c r="A86" s="86"/>
    </row>
    <row r="87" spans="1:11" x14ac:dyDescent="0.3">
      <c r="A87" s="86"/>
    </row>
    <row r="88" spans="1:11" x14ac:dyDescent="0.3">
      <c r="A88" s="86"/>
    </row>
    <row r="89" spans="1:11" x14ac:dyDescent="0.3">
      <c r="A89" s="86"/>
    </row>
    <row r="90" spans="1:11" s="80" customFormat="1" x14ac:dyDescent="0.3">
      <c r="A90" s="80" t="s">
        <v>198</v>
      </c>
      <c r="B90" s="82">
        <v>872.61</v>
      </c>
      <c r="C90" s="82">
        <v>1276.1099999999999</v>
      </c>
      <c r="D90" s="82">
        <v>1633.53</v>
      </c>
      <c r="E90" s="82">
        <v>2199.83</v>
      </c>
      <c r="F90" s="82">
        <v>2327.12</v>
      </c>
      <c r="G90" s="82">
        <v>1960.7</v>
      </c>
      <c r="H90" s="82">
        <v>2450.44</v>
      </c>
      <c r="I90" s="82">
        <v>2167.14</v>
      </c>
      <c r="J90" s="82">
        <v>2161.88</v>
      </c>
      <c r="K90" s="82">
        <v>2055.1999999999998</v>
      </c>
    </row>
    <row r="92" spans="1:11" s="80" customFormat="1" x14ac:dyDescent="0.3">
      <c r="A92" s="80" t="s">
        <v>199</v>
      </c>
    </row>
    <row r="93" spans="1:11" x14ac:dyDescent="0.3">
      <c r="A93" s="81" t="s">
        <v>200</v>
      </c>
      <c r="B93" s="87">
        <v>216.43</v>
      </c>
      <c r="C93" s="87">
        <v>216.45</v>
      </c>
      <c r="D93" s="87">
        <v>216.47</v>
      </c>
      <c r="E93" s="87">
        <v>216.48</v>
      </c>
      <c r="F93" s="87">
        <v>234.96</v>
      </c>
      <c r="G93" s="87">
        <v>234.96</v>
      </c>
      <c r="H93" s="87">
        <v>234.96</v>
      </c>
      <c r="I93" s="87">
        <v>234.96</v>
      </c>
      <c r="J93" s="87">
        <v>234.96</v>
      </c>
      <c r="K93" s="87">
        <v>234.96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956E14A8-D42C-4B09-915A-075D25CB7910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BA293-559B-4C52-B511-4B03CCDF700B}">
  <dimension ref="B2:Q33"/>
  <sheetViews>
    <sheetView showGridLines="0" zoomScale="106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26" sqref="E26"/>
    </sheetView>
  </sheetViews>
  <sheetFormatPr defaultRowHeight="14.4" x14ac:dyDescent="0.3"/>
  <cols>
    <col min="1" max="1" width="8.88671875" style="82"/>
    <col min="2" max="2" width="31.88671875" style="82" bestFit="1" customWidth="1"/>
    <col min="3" max="3" width="7.88671875" style="82" bestFit="1" customWidth="1"/>
    <col min="4" max="5" width="8.5546875" style="82" bestFit="1" customWidth="1"/>
    <col min="6" max="10" width="7.88671875" style="82" bestFit="1" customWidth="1"/>
    <col min="11" max="14" width="8.5546875" style="82" bestFit="1" customWidth="1"/>
    <col min="15" max="16384" width="8.88671875" style="82"/>
  </cols>
  <sheetData>
    <row r="2" spans="2:14" ht="15" thickBot="1" x14ac:dyDescent="0.35">
      <c r="C2" s="165">
        <v>42064</v>
      </c>
      <c r="D2" s="165">
        <v>42430</v>
      </c>
      <c r="E2" s="165">
        <v>42795</v>
      </c>
      <c r="F2" s="165">
        <v>43160</v>
      </c>
      <c r="G2" s="165">
        <v>43525</v>
      </c>
      <c r="H2" s="165">
        <v>43891</v>
      </c>
      <c r="I2" s="165">
        <v>44256</v>
      </c>
      <c r="J2" s="165">
        <v>44621</v>
      </c>
      <c r="K2" s="165">
        <v>44986</v>
      </c>
      <c r="L2" s="165">
        <v>45352</v>
      </c>
      <c r="M2" s="165">
        <v>45717</v>
      </c>
      <c r="N2" s="165">
        <v>46082</v>
      </c>
    </row>
    <row r="3" spans="2:14" ht="15" thickBot="1" x14ac:dyDescent="0.35">
      <c r="B3" s="166" t="s">
        <v>364</v>
      </c>
      <c r="C3" s="168">
        <v>3292</v>
      </c>
      <c r="D3" s="168">
        <v>4171</v>
      </c>
      <c r="E3" s="168">
        <v>5185</v>
      </c>
      <c r="F3" s="168">
        <v>6059</v>
      </c>
      <c r="G3" s="168">
        <v>5800</v>
      </c>
      <c r="H3" s="168">
        <v>7623</v>
      </c>
      <c r="I3" s="168">
        <v>9163</v>
      </c>
      <c r="J3" s="168">
        <v>9048</v>
      </c>
      <c r="K3" s="168">
        <v>9991</v>
      </c>
      <c r="L3" s="168">
        <v>15469</v>
      </c>
      <c r="M3" s="168">
        <v>11886</v>
      </c>
      <c r="N3" s="168">
        <v>10999</v>
      </c>
    </row>
    <row r="4" spans="2:14" x14ac:dyDescent="0.3">
      <c r="B4" s="169" t="s">
        <v>202</v>
      </c>
      <c r="C4" s="168">
        <v>5510</v>
      </c>
      <c r="D4" s="168">
        <v>6025</v>
      </c>
      <c r="E4" s="168">
        <v>6512</v>
      </c>
      <c r="F4" s="168">
        <v>7485</v>
      </c>
      <c r="G4" s="168">
        <v>8909</v>
      </c>
      <c r="H4" s="168">
        <v>9723</v>
      </c>
      <c r="I4" s="168">
        <v>11672</v>
      </c>
      <c r="J4" s="168">
        <v>12829</v>
      </c>
      <c r="K4" s="168">
        <v>14089</v>
      </c>
      <c r="L4" s="168">
        <v>14537</v>
      </c>
      <c r="M4" s="168">
        <v>14942</v>
      </c>
      <c r="N4" s="168">
        <v>15153</v>
      </c>
    </row>
    <row r="5" spans="2:14" x14ac:dyDescent="0.3">
      <c r="B5" s="170" t="s">
        <v>187</v>
      </c>
      <c r="C5" s="171">
        <v>3</v>
      </c>
      <c r="D5" s="171">
        <v>-257</v>
      </c>
      <c r="E5" s="171">
        <v>173</v>
      </c>
      <c r="F5" s="171">
        <v>0</v>
      </c>
      <c r="G5" s="171">
        <v>0</v>
      </c>
      <c r="H5" s="171">
        <v>0</v>
      </c>
      <c r="I5" s="171">
        <v>0</v>
      </c>
      <c r="J5" s="171">
        <v>0</v>
      </c>
      <c r="K5" s="171">
        <v>0</v>
      </c>
      <c r="L5" s="171">
        <v>0</v>
      </c>
      <c r="M5" s="171">
        <v>0</v>
      </c>
      <c r="N5" s="171">
        <v>0</v>
      </c>
    </row>
    <row r="6" spans="2:14" x14ac:dyDescent="0.3">
      <c r="B6" s="170" t="s">
        <v>188</v>
      </c>
      <c r="C6" s="171">
        <v>91</v>
      </c>
      <c r="D6" s="171">
        <v>89</v>
      </c>
      <c r="E6" s="171">
        <v>37</v>
      </c>
      <c r="F6" s="171">
        <v>-146</v>
      </c>
      <c r="G6" s="171">
        <v>-195</v>
      </c>
      <c r="H6" s="171">
        <v>-331</v>
      </c>
      <c r="I6" s="171">
        <v>-543</v>
      </c>
      <c r="J6" s="171">
        <v>-758</v>
      </c>
      <c r="K6" s="171">
        <v>-339</v>
      </c>
      <c r="L6" s="171">
        <v>74</v>
      </c>
      <c r="M6" s="171">
        <v>-584</v>
      </c>
      <c r="N6" s="171">
        <v>-692</v>
      </c>
    </row>
    <row r="7" spans="2:14" x14ac:dyDescent="0.3">
      <c r="B7" s="170" t="s">
        <v>203</v>
      </c>
      <c r="C7" s="171">
        <v>-327</v>
      </c>
      <c r="D7" s="171">
        <v>164</v>
      </c>
      <c r="E7" s="171">
        <v>501</v>
      </c>
      <c r="F7" s="171">
        <v>0</v>
      </c>
      <c r="G7" s="171">
        <v>0</v>
      </c>
      <c r="H7" s="171">
        <v>0</v>
      </c>
      <c r="I7" s="171">
        <v>0</v>
      </c>
      <c r="J7" s="171">
        <v>0</v>
      </c>
      <c r="K7" s="171">
        <v>0</v>
      </c>
      <c r="L7" s="171">
        <v>0</v>
      </c>
      <c r="M7" s="171">
        <v>0</v>
      </c>
      <c r="N7" s="171">
        <v>0</v>
      </c>
    </row>
    <row r="8" spans="2:14" x14ac:dyDescent="0.3">
      <c r="B8" s="170" t="s">
        <v>204</v>
      </c>
      <c r="C8" s="171">
        <v>-148</v>
      </c>
      <c r="D8" s="171">
        <v>0</v>
      </c>
      <c r="E8" s="171">
        <v>0</v>
      </c>
      <c r="F8" s="171">
        <v>0</v>
      </c>
      <c r="G8" s="171">
        <v>0</v>
      </c>
      <c r="H8" s="171">
        <v>0</v>
      </c>
      <c r="I8" s="171">
        <v>0</v>
      </c>
      <c r="J8" s="171">
        <v>0</v>
      </c>
      <c r="K8" s="171">
        <v>0</v>
      </c>
      <c r="L8" s="171">
        <v>0</v>
      </c>
      <c r="M8" s="171">
        <v>0</v>
      </c>
      <c r="N8" s="171">
        <v>0</v>
      </c>
    </row>
    <row r="9" spans="2:14" x14ac:dyDescent="0.3">
      <c r="B9" s="170" t="s">
        <v>365</v>
      </c>
      <c r="C9" s="171">
        <v>0</v>
      </c>
      <c r="D9" s="171">
        <v>0</v>
      </c>
      <c r="E9" s="171">
        <v>-46</v>
      </c>
      <c r="F9" s="171">
        <v>0</v>
      </c>
      <c r="G9" s="171">
        <v>0</v>
      </c>
      <c r="H9" s="171">
        <v>0</v>
      </c>
      <c r="I9" s="171">
        <v>0</v>
      </c>
      <c r="J9" s="171">
        <v>0</v>
      </c>
      <c r="K9" s="171">
        <v>0</v>
      </c>
      <c r="L9" s="171">
        <v>0</v>
      </c>
      <c r="M9" s="171">
        <v>0</v>
      </c>
      <c r="N9" s="171">
        <v>0</v>
      </c>
    </row>
    <row r="10" spans="2:14" ht="15" thickBot="1" x14ac:dyDescent="0.35">
      <c r="B10" s="170" t="s">
        <v>206</v>
      </c>
      <c r="C10" s="171">
        <v>38</v>
      </c>
      <c r="D10" s="171">
        <v>-77</v>
      </c>
      <c r="E10" s="171">
        <v>-99</v>
      </c>
      <c r="F10" s="171">
        <v>982</v>
      </c>
      <c r="G10" s="171">
        <v>-147</v>
      </c>
      <c r="H10" s="171">
        <v>742</v>
      </c>
      <c r="I10" s="171">
        <v>442</v>
      </c>
      <c r="J10" s="171">
        <v>-242</v>
      </c>
      <c r="K10" s="171">
        <v>-621</v>
      </c>
      <c r="L10" s="172">
        <v>1239</v>
      </c>
      <c r="M10" s="171">
        <v>-204</v>
      </c>
      <c r="N10" s="172">
        <v>1378</v>
      </c>
    </row>
    <row r="11" spans="2:14" x14ac:dyDescent="0.3">
      <c r="B11" s="169" t="s">
        <v>207</v>
      </c>
      <c r="C11" s="173">
        <v>-342</v>
      </c>
      <c r="D11" s="173">
        <v>-81</v>
      </c>
      <c r="E11" s="173">
        <v>566</v>
      </c>
      <c r="F11" s="173">
        <v>836</v>
      </c>
      <c r="G11" s="173">
        <v>-342</v>
      </c>
      <c r="H11" s="173">
        <v>411</v>
      </c>
      <c r="I11" s="173">
        <v>-101</v>
      </c>
      <c r="J11" s="168">
        <v>-1000</v>
      </c>
      <c r="K11" s="173">
        <v>-960</v>
      </c>
      <c r="L11" s="168">
        <v>1313</v>
      </c>
      <c r="M11" s="173">
        <v>-788</v>
      </c>
      <c r="N11" s="173">
        <v>686</v>
      </c>
    </row>
    <row r="12" spans="2:14" x14ac:dyDescent="0.3">
      <c r="B12" s="170" t="s">
        <v>208</v>
      </c>
      <c r="C12" s="172">
        <v>-1862</v>
      </c>
      <c r="D12" s="172">
        <v>-1765</v>
      </c>
      <c r="E12" s="172">
        <v>-1859</v>
      </c>
      <c r="F12" s="172">
        <v>-2264</v>
      </c>
      <c r="G12" s="172">
        <v>-2767</v>
      </c>
      <c r="H12" s="172">
        <v>-2505</v>
      </c>
      <c r="I12" s="172">
        <v>-2407</v>
      </c>
      <c r="J12" s="172">
        <v>-2784</v>
      </c>
      <c r="K12" s="172">
        <v>-3138</v>
      </c>
      <c r="L12" s="171">
        <v>-381</v>
      </c>
      <c r="M12" s="172">
        <v>-2268</v>
      </c>
      <c r="N12" s="172">
        <v>-4840</v>
      </c>
    </row>
    <row r="13" spans="2:14" x14ac:dyDescent="0.3">
      <c r="B13" s="170" t="s">
        <v>366</v>
      </c>
      <c r="C13" s="171">
        <v>-14</v>
      </c>
      <c r="D13" s="171">
        <v>-8</v>
      </c>
      <c r="E13" s="171">
        <v>-21</v>
      </c>
      <c r="F13" s="171">
        <v>0</v>
      </c>
      <c r="G13" s="171">
        <v>0</v>
      </c>
      <c r="H13" s="171">
        <v>0</v>
      </c>
      <c r="I13" s="171">
        <v>0</v>
      </c>
      <c r="J13" s="171">
        <v>0</v>
      </c>
      <c r="K13" s="171">
        <v>0</v>
      </c>
      <c r="L13" s="171">
        <v>0</v>
      </c>
      <c r="M13" s="171">
        <v>0</v>
      </c>
      <c r="N13" s="171">
        <v>0</v>
      </c>
    </row>
    <row r="14" spans="2:14" ht="15" thickBot="1" x14ac:dyDescent="0.35">
      <c r="B14" s="170" t="s">
        <v>367</v>
      </c>
      <c r="C14" s="171">
        <v>0</v>
      </c>
      <c r="D14" s="171">
        <v>0</v>
      </c>
      <c r="E14" s="171">
        <v>-13</v>
      </c>
      <c r="F14" s="171">
        <v>2</v>
      </c>
      <c r="G14" s="171">
        <v>0</v>
      </c>
      <c r="H14" s="171">
        <v>-6</v>
      </c>
      <c r="I14" s="171">
        <v>-1</v>
      </c>
      <c r="J14" s="171">
        <v>3</v>
      </c>
      <c r="K14" s="171">
        <v>0</v>
      </c>
      <c r="L14" s="171">
        <v>0</v>
      </c>
      <c r="M14" s="171">
        <v>0</v>
      </c>
      <c r="N14" s="171">
        <v>0</v>
      </c>
    </row>
    <row r="15" spans="2:14" x14ac:dyDescent="0.3">
      <c r="B15" s="174" t="s">
        <v>368</v>
      </c>
      <c r="C15" s="175">
        <v>138</v>
      </c>
      <c r="D15" s="175">
        <v>-282</v>
      </c>
      <c r="E15" s="176">
        <v>-1173</v>
      </c>
      <c r="F15" s="176">
        <v>-1063</v>
      </c>
      <c r="G15" s="175">
        <v>-438</v>
      </c>
      <c r="H15" s="176">
        <v>1791</v>
      </c>
      <c r="I15" s="176">
        <v>-1228</v>
      </c>
      <c r="J15" s="176">
        <v>-1728</v>
      </c>
      <c r="K15" s="176">
        <v>-1484</v>
      </c>
      <c r="L15" s="176">
        <v>-5324</v>
      </c>
      <c r="M15" s="176">
        <v>6473</v>
      </c>
      <c r="N15" s="176">
        <v>-3676</v>
      </c>
    </row>
    <row r="16" spans="2:14" x14ac:dyDescent="0.3">
      <c r="B16" s="177" t="s">
        <v>210</v>
      </c>
      <c r="C16" s="178">
        <v>-606</v>
      </c>
      <c r="D16" s="178">
        <v>-810</v>
      </c>
      <c r="E16" s="179">
        <v>-1113</v>
      </c>
      <c r="F16" s="178">
        <v>-895</v>
      </c>
      <c r="G16" s="178">
        <v>-767</v>
      </c>
      <c r="H16" s="178">
        <v>-862</v>
      </c>
      <c r="I16" s="179">
        <v>-4163</v>
      </c>
      <c r="J16" s="179">
        <v>-1228</v>
      </c>
      <c r="K16" s="179">
        <v>-1192</v>
      </c>
      <c r="L16" s="179">
        <v>-1477</v>
      </c>
      <c r="M16" s="179">
        <v>-1275</v>
      </c>
      <c r="N16" s="179">
        <v>-1361</v>
      </c>
    </row>
    <row r="17" spans="2:17" x14ac:dyDescent="0.3">
      <c r="B17" s="177" t="s">
        <v>211</v>
      </c>
      <c r="C17" s="178">
        <v>560</v>
      </c>
      <c r="D17" s="178">
        <v>99</v>
      </c>
      <c r="E17" s="178">
        <v>176</v>
      </c>
      <c r="F17" s="178">
        <v>32</v>
      </c>
      <c r="G17" s="178">
        <v>13</v>
      </c>
      <c r="H17" s="178">
        <v>52</v>
      </c>
      <c r="I17" s="178">
        <v>97</v>
      </c>
      <c r="J17" s="178">
        <v>175</v>
      </c>
      <c r="K17" s="178">
        <v>181</v>
      </c>
      <c r="L17" s="178">
        <v>20</v>
      </c>
      <c r="M17" s="178">
        <v>13</v>
      </c>
      <c r="N17" s="178">
        <v>29</v>
      </c>
    </row>
    <row r="18" spans="2:17" x14ac:dyDescent="0.3">
      <c r="B18" s="177" t="s">
        <v>212</v>
      </c>
      <c r="C18" s="179">
        <v>-19353</v>
      </c>
      <c r="D18" s="179">
        <v>-20666</v>
      </c>
      <c r="E18" s="179">
        <v>-31214</v>
      </c>
      <c r="F18" s="179">
        <v>-51855</v>
      </c>
      <c r="G18" s="179">
        <v>-74365</v>
      </c>
      <c r="H18" s="179">
        <v>-36090</v>
      </c>
      <c r="I18" s="179">
        <v>-39920</v>
      </c>
      <c r="J18" s="179">
        <v>-48522</v>
      </c>
      <c r="K18" s="179">
        <v>-22649</v>
      </c>
      <c r="L18" s="179">
        <v>-21337</v>
      </c>
      <c r="M18" s="179">
        <v>-22957</v>
      </c>
      <c r="N18" s="179">
        <v>-25529</v>
      </c>
    </row>
    <row r="19" spans="2:17" x14ac:dyDescent="0.3">
      <c r="B19" s="177" t="s">
        <v>213</v>
      </c>
      <c r="C19" s="179">
        <v>19461</v>
      </c>
      <c r="D19" s="179">
        <v>20937</v>
      </c>
      <c r="E19" s="179">
        <v>30083</v>
      </c>
      <c r="F19" s="179">
        <v>52897</v>
      </c>
      <c r="G19" s="179">
        <v>74691</v>
      </c>
      <c r="H19" s="179">
        <v>37690</v>
      </c>
      <c r="I19" s="179">
        <v>38486</v>
      </c>
      <c r="J19" s="179">
        <v>47786</v>
      </c>
      <c r="K19" s="179">
        <v>23462</v>
      </c>
      <c r="L19" s="179">
        <v>19846</v>
      </c>
      <c r="M19" s="179">
        <v>23987</v>
      </c>
      <c r="N19" s="179">
        <v>25117</v>
      </c>
    </row>
    <row r="20" spans="2:17" x14ac:dyDescent="0.3">
      <c r="B20" s="177" t="s">
        <v>214</v>
      </c>
      <c r="C20" s="178">
        <v>218</v>
      </c>
      <c r="D20" s="178">
        <v>315</v>
      </c>
      <c r="E20" s="178">
        <v>264</v>
      </c>
      <c r="F20" s="178">
        <v>297</v>
      </c>
      <c r="G20" s="178">
        <v>289</v>
      </c>
      <c r="H20" s="178">
        <v>351</v>
      </c>
      <c r="I20" s="178">
        <v>277</v>
      </c>
      <c r="J20" s="178">
        <v>161</v>
      </c>
      <c r="K20" s="178">
        <v>259</v>
      </c>
      <c r="L20" s="178">
        <v>425</v>
      </c>
      <c r="M20" s="178">
        <v>835</v>
      </c>
      <c r="N20" s="178">
        <v>428</v>
      </c>
    </row>
    <row r="21" spans="2:17" x14ac:dyDescent="0.3">
      <c r="B21" s="177" t="s">
        <v>215</v>
      </c>
      <c r="C21" s="178">
        <v>24</v>
      </c>
      <c r="D21" s="178">
        <v>33</v>
      </c>
      <c r="E21" s="178">
        <v>14</v>
      </c>
      <c r="F21" s="178">
        <v>0</v>
      </c>
      <c r="G21" s="178">
        <v>1</v>
      </c>
      <c r="H21" s="178">
        <v>1</v>
      </c>
      <c r="I21" s="178">
        <v>1</v>
      </c>
      <c r="J21" s="178">
        <v>1</v>
      </c>
      <c r="K21" s="178">
        <v>2</v>
      </c>
      <c r="L21" s="178">
        <v>3</v>
      </c>
      <c r="M21" s="178">
        <v>0</v>
      </c>
      <c r="N21" s="178">
        <v>5</v>
      </c>
    </row>
    <row r="22" spans="2:17" x14ac:dyDescent="0.3">
      <c r="B22" s="177" t="s">
        <v>217</v>
      </c>
      <c r="C22" s="178">
        <v>200</v>
      </c>
      <c r="D22" s="178">
        <v>161</v>
      </c>
      <c r="E22" s="178">
        <v>20</v>
      </c>
      <c r="F22" s="178">
        <v>73</v>
      </c>
      <c r="G22" s="178">
        <v>0</v>
      </c>
      <c r="H22" s="178">
        <v>0</v>
      </c>
      <c r="I22" s="178">
        <v>0</v>
      </c>
      <c r="J22" s="178">
        <v>0</v>
      </c>
      <c r="K22" s="178">
        <v>0</v>
      </c>
      <c r="L22" s="178">
        <v>0</v>
      </c>
      <c r="M22" s="178">
        <v>0</v>
      </c>
      <c r="N22" s="178">
        <v>298</v>
      </c>
    </row>
    <row r="23" spans="2:17" x14ac:dyDescent="0.3">
      <c r="B23" s="177" t="s">
        <v>369</v>
      </c>
      <c r="C23" s="178">
        <v>0</v>
      </c>
      <c r="D23" s="178">
        <v>0</v>
      </c>
      <c r="E23" s="178">
        <v>0</v>
      </c>
      <c r="F23" s="178">
        <v>0</v>
      </c>
      <c r="G23" s="178">
        <v>0</v>
      </c>
      <c r="H23" s="178">
        <v>0</v>
      </c>
      <c r="I23" s="178">
        <v>0</v>
      </c>
      <c r="J23" s="178">
        <v>0</v>
      </c>
      <c r="K23" s="178">
        <v>-334</v>
      </c>
      <c r="L23" s="178">
        <v>0</v>
      </c>
      <c r="M23" s="178">
        <v>0</v>
      </c>
      <c r="N23" s="178">
        <v>0</v>
      </c>
      <c r="Q23" s="88" t="s">
        <v>16</v>
      </c>
    </row>
    <row r="24" spans="2:17" ht="15" thickBot="1" x14ac:dyDescent="0.35">
      <c r="B24" s="177" t="s">
        <v>218</v>
      </c>
      <c r="C24" s="178">
        <v>-367</v>
      </c>
      <c r="D24" s="178">
        <v>-351</v>
      </c>
      <c r="E24" s="178">
        <v>597</v>
      </c>
      <c r="F24" s="179">
        <v>-1612</v>
      </c>
      <c r="G24" s="178">
        <v>-300</v>
      </c>
      <c r="H24" s="178">
        <v>649</v>
      </c>
      <c r="I24" s="179">
        <v>3994</v>
      </c>
      <c r="J24" s="178">
        <v>-101</v>
      </c>
      <c r="K24" s="179">
        <v>-1213</v>
      </c>
      <c r="L24" s="179">
        <v>-2804</v>
      </c>
      <c r="M24" s="179">
        <v>5870</v>
      </c>
      <c r="N24" s="179">
        <v>-2663</v>
      </c>
    </row>
    <row r="25" spans="2:17" x14ac:dyDescent="0.3">
      <c r="B25" s="166" t="s">
        <v>370</v>
      </c>
      <c r="C25" s="168">
        <v>-3462</v>
      </c>
      <c r="D25" s="168">
        <v>-3864</v>
      </c>
      <c r="E25" s="168">
        <v>-4214</v>
      </c>
      <c r="F25" s="168">
        <v>-4975</v>
      </c>
      <c r="G25" s="168">
        <v>-5390</v>
      </c>
      <c r="H25" s="168">
        <v>-6819</v>
      </c>
      <c r="I25" s="168">
        <v>-9309</v>
      </c>
      <c r="J25" s="168">
        <v>-8015</v>
      </c>
      <c r="K25" s="168">
        <v>-8953</v>
      </c>
      <c r="L25" s="168">
        <v>-10034</v>
      </c>
      <c r="M25" s="168">
        <v>-13101</v>
      </c>
      <c r="N25" s="168">
        <v>-10810</v>
      </c>
    </row>
    <row r="26" spans="2:17" x14ac:dyDescent="0.3">
      <c r="B26" s="170" t="s">
        <v>220</v>
      </c>
      <c r="C26" s="171">
        <v>2</v>
      </c>
      <c r="D26" s="171">
        <v>0</v>
      </c>
      <c r="E26" s="171">
        <v>0</v>
      </c>
      <c r="F26" s="171">
        <v>0</v>
      </c>
      <c r="G26" s="171">
        <v>0</v>
      </c>
      <c r="H26" s="171">
        <v>0</v>
      </c>
      <c r="I26" s="171">
        <v>0</v>
      </c>
      <c r="J26" s="171">
        <v>0</v>
      </c>
      <c r="K26" s="171">
        <v>0</v>
      </c>
      <c r="L26" s="171">
        <v>0</v>
      </c>
      <c r="M26" s="171">
        <v>0</v>
      </c>
      <c r="N26" s="171">
        <v>0</v>
      </c>
    </row>
    <row r="27" spans="2:17" x14ac:dyDescent="0.3">
      <c r="B27" s="170" t="s">
        <v>221</v>
      </c>
      <c r="C27" s="171">
        <v>0</v>
      </c>
      <c r="D27" s="171">
        <v>177</v>
      </c>
      <c r="E27" s="171">
        <v>460</v>
      </c>
      <c r="F27" s="171">
        <v>0</v>
      </c>
      <c r="G27" s="171">
        <v>99</v>
      </c>
      <c r="H27" s="171">
        <v>0</v>
      </c>
      <c r="I27" s="171">
        <v>188</v>
      </c>
      <c r="J27" s="171">
        <v>55</v>
      </c>
      <c r="K27" s="171">
        <v>286</v>
      </c>
      <c r="L27" s="171">
        <v>0</v>
      </c>
      <c r="M27" s="171">
        <v>0</v>
      </c>
      <c r="N27" s="171">
        <v>0</v>
      </c>
    </row>
    <row r="28" spans="2:17" x14ac:dyDescent="0.3">
      <c r="B28" s="170" t="s">
        <v>222</v>
      </c>
      <c r="C28" s="171">
        <v>-3</v>
      </c>
      <c r="D28" s="171">
        <v>0</v>
      </c>
      <c r="E28" s="171">
        <v>-360</v>
      </c>
      <c r="F28" s="171">
        <v>-277</v>
      </c>
      <c r="G28" s="171">
        <v>0</v>
      </c>
      <c r="H28" s="171">
        <v>-99</v>
      </c>
      <c r="I28" s="171">
        <v>-188</v>
      </c>
      <c r="J28" s="171">
        <v>-55</v>
      </c>
      <c r="K28" s="171">
        <v>-208</v>
      </c>
      <c r="L28" s="171">
        <v>-85</v>
      </c>
      <c r="M28" s="171">
        <v>0</v>
      </c>
      <c r="N28" s="171">
        <v>-46</v>
      </c>
    </row>
    <row r="29" spans="2:17" x14ac:dyDescent="0.3">
      <c r="B29" s="170" t="s">
        <v>223</v>
      </c>
      <c r="C29" s="171">
        <v>-18</v>
      </c>
      <c r="D29" s="171">
        <v>-2</v>
      </c>
      <c r="E29" s="171">
        <v>-14</v>
      </c>
      <c r="F29" s="171">
        <v>-6</v>
      </c>
      <c r="G29" s="171">
        <v>-7</v>
      </c>
      <c r="H29" s="171">
        <v>-90</v>
      </c>
      <c r="I29" s="171">
        <v>-92</v>
      </c>
      <c r="J29" s="171">
        <v>-82</v>
      </c>
      <c r="K29" s="171">
        <v>-88</v>
      </c>
      <c r="L29" s="171">
        <v>-110</v>
      </c>
      <c r="M29" s="171">
        <v>-130</v>
      </c>
      <c r="N29" s="171">
        <v>-133</v>
      </c>
    </row>
    <row r="30" spans="2:17" x14ac:dyDescent="0.3">
      <c r="B30" s="170" t="s">
        <v>371</v>
      </c>
      <c r="C30" s="172">
        <v>-2912</v>
      </c>
      <c r="D30" s="172">
        <v>-3354</v>
      </c>
      <c r="E30" s="172">
        <v>-3572</v>
      </c>
      <c r="F30" s="172">
        <v>-3911</v>
      </c>
      <c r="G30" s="172">
        <v>-4554</v>
      </c>
      <c r="H30" s="172">
        <v>-5196</v>
      </c>
      <c r="I30" s="172">
        <v>-8811</v>
      </c>
      <c r="J30" s="172">
        <v>-7526</v>
      </c>
      <c r="K30" s="172">
        <v>-8474</v>
      </c>
      <c r="L30" s="172">
        <v>-9416</v>
      </c>
      <c r="M30" s="172">
        <v>-12473</v>
      </c>
      <c r="N30" s="172">
        <v>-10124</v>
      </c>
    </row>
    <row r="31" spans="2:17" x14ac:dyDescent="0.3">
      <c r="B31" s="170" t="s">
        <v>224</v>
      </c>
      <c r="C31" s="171">
        <v>0</v>
      </c>
      <c r="D31" s="171">
        <v>0</v>
      </c>
      <c r="E31" s="171">
        <v>0</v>
      </c>
      <c r="F31" s="171">
        <v>0</v>
      </c>
      <c r="G31" s="171">
        <v>0</v>
      </c>
      <c r="H31" s="171">
        <v>-373</v>
      </c>
      <c r="I31" s="171">
        <v>-406</v>
      </c>
      <c r="J31" s="171">
        <v>-407</v>
      </c>
      <c r="K31" s="171">
        <v>-467</v>
      </c>
      <c r="L31" s="171">
        <v>-423</v>
      </c>
      <c r="M31" s="171">
        <v>-498</v>
      </c>
      <c r="N31" s="171">
        <v>-507</v>
      </c>
    </row>
    <row r="32" spans="2:17" ht="15" thickBot="1" x14ac:dyDescent="0.35">
      <c r="B32" s="170" t="s">
        <v>225</v>
      </c>
      <c r="C32" s="171">
        <v>-533</v>
      </c>
      <c r="D32" s="171">
        <v>-685</v>
      </c>
      <c r="E32" s="171">
        <v>-728</v>
      </c>
      <c r="F32" s="171">
        <v>-781</v>
      </c>
      <c r="G32" s="171">
        <v>-928</v>
      </c>
      <c r="H32" s="172">
        <v>-1061</v>
      </c>
      <c r="I32" s="171">
        <v>0</v>
      </c>
      <c r="J32" s="171">
        <v>0</v>
      </c>
      <c r="K32" s="171">
        <v>-2</v>
      </c>
      <c r="L32" s="171">
        <v>0</v>
      </c>
      <c r="M32" s="171">
        <v>0</v>
      </c>
      <c r="N32" s="171">
        <v>0</v>
      </c>
    </row>
    <row r="33" spans="2:14" x14ac:dyDescent="0.3">
      <c r="B33" s="174" t="s">
        <v>197</v>
      </c>
      <c r="C33" s="175">
        <v>-33</v>
      </c>
      <c r="D33" s="175">
        <v>25</v>
      </c>
      <c r="E33" s="175">
        <v>-202</v>
      </c>
      <c r="F33" s="175">
        <v>21</v>
      </c>
      <c r="G33" s="175">
        <v>-28</v>
      </c>
      <c r="H33" s="176">
        <v>2595</v>
      </c>
      <c r="I33" s="176">
        <v>-1374</v>
      </c>
      <c r="J33" s="175">
        <v>-695</v>
      </c>
      <c r="K33" s="175">
        <v>-446</v>
      </c>
      <c r="L33" s="175">
        <v>111</v>
      </c>
      <c r="M33" s="176">
        <v>5258</v>
      </c>
      <c r="N33" s="176">
        <v>-3487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20B0D-A017-4CD1-870C-3CC807ED07D0}">
  <sheetPr>
    <tabColor rgb="FF005EB8"/>
  </sheetPr>
  <dimension ref="A1"/>
  <sheetViews>
    <sheetView showGridLines="0" showRowColHeaders="0"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9DD23-835C-4605-893A-F33621FA7453}">
  <dimension ref="B2:P38"/>
  <sheetViews>
    <sheetView showGridLines="0" zoomScale="93" workbookViewId="0">
      <selection activeCell="J38" sqref="J38"/>
    </sheetView>
  </sheetViews>
  <sheetFormatPr defaultRowHeight="14.4" x14ac:dyDescent="0.3"/>
  <cols>
    <col min="1" max="1" width="2.33203125" customWidth="1"/>
    <col min="2" max="2" width="25.88671875" customWidth="1"/>
    <col min="3" max="3" width="10" bestFit="1" customWidth="1"/>
    <col min="5" max="5" width="10" bestFit="1" customWidth="1"/>
    <col min="6" max="6" width="11.21875" customWidth="1"/>
    <col min="8" max="8" width="9.21875" bestFit="1" customWidth="1"/>
    <col min="9" max="9" width="13.109375" bestFit="1" customWidth="1"/>
    <col min="10" max="10" width="11" customWidth="1"/>
    <col min="11" max="11" width="11.5546875" customWidth="1"/>
    <col min="12" max="12" width="20.44140625" bestFit="1" customWidth="1"/>
    <col min="13" max="13" width="14.109375" customWidth="1"/>
  </cols>
  <sheetData>
    <row r="2" spans="2:14" x14ac:dyDescent="0.3">
      <c r="B2" s="1" t="s">
        <v>0</v>
      </c>
    </row>
    <row r="4" spans="2:14" x14ac:dyDescent="0.3">
      <c r="B4" t="s">
        <v>1</v>
      </c>
    </row>
    <row r="5" spans="2:14" x14ac:dyDescent="0.3">
      <c r="B5" s="2"/>
      <c r="C5" s="2"/>
      <c r="D5" s="2"/>
      <c r="E5" s="2"/>
      <c r="F5" s="2"/>
      <c r="G5" s="2"/>
      <c r="H5" s="2" t="s">
        <v>7</v>
      </c>
      <c r="I5" s="2" t="s">
        <v>7</v>
      </c>
      <c r="J5" s="2" t="s">
        <v>8</v>
      </c>
      <c r="K5" s="2" t="s">
        <v>9</v>
      </c>
    </row>
    <row r="6" spans="2:14" ht="16.2" x14ac:dyDescent="0.3">
      <c r="B6" s="3" t="s">
        <v>2</v>
      </c>
      <c r="C6" s="3" t="s">
        <v>16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10</v>
      </c>
      <c r="I6" s="3" t="s">
        <v>11</v>
      </c>
      <c r="J6" s="3" t="s">
        <v>12</v>
      </c>
      <c r="K6" s="3" t="s">
        <v>14</v>
      </c>
    </row>
    <row r="7" spans="2:14" x14ac:dyDescent="0.3">
      <c r="B7" s="5" t="s">
        <v>320</v>
      </c>
      <c r="D7" s="5" t="s">
        <v>15</v>
      </c>
      <c r="E7" s="187">
        <f>'Beta - Comps'!E3</f>
        <v>1478</v>
      </c>
      <c r="F7" s="31">
        <f>'Beta - Comps'!F3</f>
        <v>503669.37</v>
      </c>
      <c r="G7" s="6">
        <v>0.3</v>
      </c>
      <c r="H7" s="9">
        <f>E7/F7</f>
        <v>2.9344647263342617E-3</v>
      </c>
      <c r="I7" s="9">
        <f>E7/(E7+F7)</f>
        <v>2.9258788380903578E-3</v>
      </c>
      <c r="J7" s="33">
        <f>Beta!M7</f>
        <v>0.53982593203809393</v>
      </c>
      <c r="K7" s="11">
        <f>J7/(1+(1-G7)*H7)</f>
        <v>0.53871933501789093</v>
      </c>
    </row>
    <row r="8" spans="2:14" x14ac:dyDescent="0.3">
      <c r="B8" s="5" t="s">
        <v>326</v>
      </c>
      <c r="D8" s="5" t="s">
        <v>15</v>
      </c>
      <c r="E8" s="187">
        <f>'Beta - Comps'!E4</f>
        <v>557</v>
      </c>
      <c r="F8" s="31">
        <f>'Beta - Comps'!F4</f>
        <v>110233.91</v>
      </c>
      <c r="G8" s="6">
        <v>0.3</v>
      </c>
      <c r="H8" s="9">
        <f>E8/F8</f>
        <v>5.052891619284846E-3</v>
      </c>
      <c r="I8" s="9">
        <f>E8/(E8+F8)</f>
        <v>5.0274882659597248E-3</v>
      </c>
      <c r="J8" s="44">
        <f>'Beta - Cal'!C6</f>
        <v>0.23570284908362621</v>
      </c>
      <c r="K8" s="11">
        <f>J8/(1+(1-G8)*H8)</f>
        <v>0.2348721007948292</v>
      </c>
    </row>
    <row r="9" spans="2:14" x14ac:dyDescent="0.3">
      <c r="B9" s="5" t="s">
        <v>322</v>
      </c>
      <c r="D9" s="5" t="s">
        <v>15</v>
      </c>
      <c r="E9" s="187">
        <f>'Beta - Comps'!E5</f>
        <v>444.16</v>
      </c>
      <c r="F9" s="31">
        <f>'Beta - Comps'!F5</f>
        <v>275180.02</v>
      </c>
      <c r="G9" s="6">
        <v>0.3</v>
      </c>
      <c r="H9" s="9">
        <f>E9/F9</f>
        <v>1.614070672718172E-3</v>
      </c>
      <c r="I9" s="9">
        <f>E9/(E9+F9)</f>
        <v>1.6114696468212623E-3</v>
      </c>
      <c r="J9" s="33">
        <f>'Beta - Cal'!C7</f>
        <v>0.3207011212735591</v>
      </c>
      <c r="K9" s="11">
        <f>J9/(1+(1-G9)*H9)</f>
        <v>0.32033918621350638</v>
      </c>
    </row>
    <row r="10" spans="2:14" x14ac:dyDescent="0.3">
      <c r="B10" s="5" t="s">
        <v>325</v>
      </c>
      <c r="D10" s="5" t="s">
        <v>15</v>
      </c>
      <c r="E10" s="187">
        <f>'Beta - Comps'!E6</f>
        <v>4420.5200000000004</v>
      </c>
      <c r="F10" s="31">
        <f>'Beta - Comps'!F6</f>
        <v>109646.59</v>
      </c>
      <c r="G10" s="6">
        <v>0.3</v>
      </c>
      <c r="H10" s="9">
        <f>E10/F10</f>
        <v>4.03160736690489E-2</v>
      </c>
      <c r="I10" s="9">
        <f>E10/(E10+F10)</f>
        <v>3.8753677549996667E-2</v>
      </c>
      <c r="J10" s="33">
        <f>'Beta - Cal'!C5</f>
        <v>0.25252854771061312</v>
      </c>
      <c r="K10" s="11">
        <f>J10/(1+(1-G10)*H10)</f>
        <v>0.24559747945827243</v>
      </c>
      <c r="N10" s="8" t="s">
        <v>16</v>
      </c>
    </row>
    <row r="11" spans="2:14" x14ac:dyDescent="0.3">
      <c r="B11" s="5" t="s">
        <v>329</v>
      </c>
      <c r="D11" s="5" t="s">
        <v>15</v>
      </c>
      <c r="E11" s="187">
        <f>'Beta - Comps'!E7</f>
        <v>1287.32</v>
      </c>
      <c r="F11" s="31">
        <f>'Beta - Comps'!F7</f>
        <v>75783.25</v>
      </c>
      <c r="G11" s="6">
        <v>0.3</v>
      </c>
      <c r="H11" s="9">
        <f>E11/F11</f>
        <v>1.6986867150722618E-2</v>
      </c>
      <c r="I11" s="9">
        <f>E11/(E11+F11)</f>
        <v>1.6703133245284156E-2</v>
      </c>
      <c r="J11" s="33">
        <f>'Beta - Cal'!C4</f>
        <v>0.27409578333234613</v>
      </c>
      <c r="K11" s="11">
        <f>J11/(1+(1-G11)*H11)</f>
        <v>0.2708748626183089</v>
      </c>
      <c r="N11" t="s">
        <v>16</v>
      </c>
    </row>
    <row r="12" spans="2:14" x14ac:dyDescent="0.3">
      <c r="M12" s="4" t="s">
        <v>16</v>
      </c>
    </row>
    <row r="13" spans="2:14" x14ac:dyDescent="0.3">
      <c r="F13" s="12" t="s">
        <v>17</v>
      </c>
      <c r="G13" s="14">
        <f>AVERAGE(G7:G11)</f>
        <v>0.3</v>
      </c>
      <c r="H13" s="14">
        <f>AVERAGE(H7:H11)</f>
        <v>1.338087356762176E-2</v>
      </c>
      <c r="I13" s="14">
        <f>AVERAGE(I7:I11)</f>
        <v>1.3004329509230434E-2</v>
      </c>
      <c r="J13" s="45">
        <f>AVERAGE(J7:J11)</f>
        <v>0.32457084668764768</v>
      </c>
      <c r="K13" s="15">
        <f>AVERAGE(K7:K11)</f>
        <v>0.32208059282056156</v>
      </c>
    </row>
    <row r="14" spans="2:14" x14ac:dyDescent="0.3">
      <c r="F14" s="13" t="s">
        <v>18</v>
      </c>
      <c r="G14" s="16">
        <f>MEDIAN(G7:G11)</f>
        <v>0.3</v>
      </c>
      <c r="H14" s="16">
        <f>MEDIAN(H7:H11)</f>
        <v>5.052891619284846E-3</v>
      </c>
      <c r="I14" s="16">
        <f>MEDIAN(I7:I11)</f>
        <v>5.0274882659597248E-3</v>
      </c>
      <c r="J14" s="46">
        <f>MEDIAN(J7:J11)</f>
        <v>0.27409578333234613</v>
      </c>
      <c r="K14" s="17">
        <f>MEDIAN(K7:K11)</f>
        <v>0.2708748626183089</v>
      </c>
    </row>
    <row r="17" spans="2:16" x14ac:dyDescent="0.3">
      <c r="B17" s="13" t="s">
        <v>19</v>
      </c>
      <c r="C17" s="13"/>
      <c r="D17" s="3"/>
      <c r="E17" s="3"/>
      <c r="G17" s="13" t="s">
        <v>23</v>
      </c>
      <c r="H17" s="3"/>
      <c r="I17" s="3" t="s">
        <v>16</v>
      </c>
      <c r="J17" s="3"/>
      <c r="K17" s="3"/>
    </row>
    <row r="19" spans="2:16" x14ac:dyDescent="0.3">
      <c r="B19" t="s">
        <v>20</v>
      </c>
      <c r="E19" s="6">
        <f>410/E7</f>
        <v>0.27740189445196212</v>
      </c>
      <c r="F19" s="4"/>
      <c r="G19" t="s">
        <v>24</v>
      </c>
      <c r="K19" s="7">
        <v>6.7799999999999999E-2</v>
      </c>
    </row>
    <row r="20" spans="2:16" x14ac:dyDescent="0.3">
      <c r="B20" s="18" t="s">
        <v>22</v>
      </c>
      <c r="C20" s="18"/>
      <c r="D20" s="18"/>
      <c r="E20" s="25">
        <v>0.3</v>
      </c>
      <c r="F20" s="20"/>
      <c r="G20" t="s">
        <v>25</v>
      </c>
      <c r="K20" s="7">
        <f>Rm!G7-WACC!K19</f>
        <v>9.6692307692307716E-2</v>
      </c>
    </row>
    <row r="21" spans="2:16" ht="16.2" x14ac:dyDescent="0.3">
      <c r="B21" t="s">
        <v>21</v>
      </c>
      <c r="E21" s="29">
        <f>E19*(1-E20)</f>
        <v>0.19418132611637348</v>
      </c>
      <c r="F21" s="4"/>
      <c r="G21" t="s">
        <v>26</v>
      </c>
      <c r="K21" s="10">
        <f>K30</f>
        <v>0.27183295354454817</v>
      </c>
    </row>
    <row r="22" spans="2:16" x14ac:dyDescent="0.3">
      <c r="G22" s="19" t="s">
        <v>27</v>
      </c>
      <c r="H22" s="19"/>
      <c r="I22" s="19"/>
      <c r="J22" s="19"/>
      <c r="K22" s="27">
        <f>K19+(K20*K21)</f>
        <v>9.4084155585038243E-2</v>
      </c>
    </row>
    <row r="25" spans="2:16" x14ac:dyDescent="0.3">
      <c r="B25" s="13" t="s">
        <v>28</v>
      </c>
      <c r="C25" s="13"/>
      <c r="D25" s="3"/>
      <c r="E25" s="3" t="s">
        <v>16</v>
      </c>
      <c r="G25" s="13" t="s">
        <v>34</v>
      </c>
      <c r="H25" s="13"/>
      <c r="I25" s="3"/>
      <c r="J25" s="3" t="s">
        <v>16</v>
      </c>
      <c r="K25" s="13" t="s">
        <v>16</v>
      </c>
      <c r="N25" s="21"/>
      <c r="P25" t="s">
        <v>16</v>
      </c>
    </row>
    <row r="27" spans="2:16" x14ac:dyDescent="0.3">
      <c r="B27" s="3"/>
      <c r="C27" s="3"/>
      <c r="D27" s="13" t="s">
        <v>29</v>
      </c>
      <c r="E27" s="13" t="s">
        <v>30</v>
      </c>
      <c r="G27" t="s">
        <v>35</v>
      </c>
      <c r="K27" s="10">
        <f>K14</f>
        <v>0.2708748626183089</v>
      </c>
    </row>
    <row r="28" spans="2:16" x14ac:dyDescent="0.3">
      <c r="B28" t="s">
        <v>31</v>
      </c>
      <c r="C28" s="31">
        <f>E7</f>
        <v>1478</v>
      </c>
      <c r="D28" s="22">
        <f>C28/$C$30</f>
        <v>2.9258788380903578E-3</v>
      </c>
      <c r="E28" s="55">
        <f>I14</f>
        <v>5.0274882659597248E-3</v>
      </c>
      <c r="G28" t="s">
        <v>36</v>
      </c>
      <c r="K28" s="4">
        <f>E32</f>
        <v>5.052891619284846E-3</v>
      </c>
    </row>
    <row r="29" spans="2:16" x14ac:dyDescent="0.3">
      <c r="B29" t="s">
        <v>32</v>
      </c>
      <c r="C29" s="32">
        <f>F7</f>
        <v>503669.37</v>
      </c>
      <c r="D29" s="22">
        <f>C29/$C$30</f>
        <v>0.99707412116190963</v>
      </c>
      <c r="E29" s="55">
        <f>E30-E28</f>
        <v>0.99497251173404022</v>
      </c>
      <c r="G29" t="s">
        <v>22</v>
      </c>
      <c r="K29" s="26">
        <v>0.3</v>
      </c>
    </row>
    <row r="30" spans="2:16" x14ac:dyDescent="0.3">
      <c r="B30" s="19" t="s">
        <v>33</v>
      </c>
      <c r="C30" s="31">
        <f>SUM(C28:C29)</f>
        <v>505147.37</v>
      </c>
      <c r="D30" s="19">
        <f>C30/$C$30</f>
        <v>1</v>
      </c>
      <c r="E30" s="56">
        <v>1</v>
      </c>
      <c r="G30" s="19" t="s">
        <v>34</v>
      </c>
      <c r="H30" s="19"/>
      <c r="I30" s="19"/>
      <c r="J30" s="19"/>
      <c r="K30" s="28">
        <f>K27*(1+(1-K29)*K28)</f>
        <v>0.27183295354454817</v>
      </c>
    </row>
    <row r="32" spans="2:16" x14ac:dyDescent="0.3">
      <c r="B32" t="s">
        <v>37</v>
      </c>
      <c r="D32" s="23">
        <f>C28/C29</f>
        <v>2.9344647263342617E-3</v>
      </c>
      <c r="E32" s="23">
        <f>E28/E29</f>
        <v>5.052891619284846E-3</v>
      </c>
      <c r="G32" s="13" t="s">
        <v>38</v>
      </c>
      <c r="H32" s="13"/>
      <c r="I32" s="3"/>
      <c r="J32" s="3" t="s">
        <v>16</v>
      </c>
      <c r="K32" s="3" t="s">
        <v>16</v>
      </c>
    </row>
    <row r="34" spans="2:12" x14ac:dyDescent="0.3">
      <c r="B34" s="36" t="s">
        <v>42</v>
      </c>
      <c r="J34" s="30" t="s">
        <v>39</v>
      </c>
      <c r="K34" s="30" t="s">
        <v>40</v>
      </c>
    </row>
    <row r="35" spans="2:12" x14ac:dyDescent="0.3">
      <c r="B35" s="35" t="s">
        <v>43</v>
      </c>
      <c r="G35" t="s">
        <v>41</v>
      </c>
      <c r="J35" s="4">
        <f>E21</f>
        <v>0.19418132611637348</v>
      </c>
      <c r="K35" s="4">
        <f>E28</f>
        <v>5.0274882659597248E-3</v>
      </c>
      <c r="L35" s="57" t="s">
        <v>16</v>
      </c>
    </row>
    <row r="36" spans="2:12" x14ac:dyDescent="0.3">
      <c r="B36" s="35" t="s">
        <v>376</v>
      </c>
      <c r="G36" t="s">
        <v>10</v>
      </c>
      <c r="J36" s="4">
        <f>K22</f>
        <v>9.4084155585038243E-2</v>
      </c>
      <c r="K36" s="4">
        <f>E29</f>
        <v>0.99497251173404022</v>
      </c>
    </row>
    <row r="37" spans="2:12" x14ac:dyDescent="0.3">
      <c r="B37" s="35" t="s">
        <v>44</v>
      </c>
      <c r="G37" s="24" t="s">
        <v>38</v>
      </c>
      <c r="H37" s="24"/>
      <c r="I37" s="24"/>
      <c r="J37" s="24"/>
      <c r="K37" s="58">
        <f>SUMPRODUCT(J35:J36,K35:K36)</f>
        <v>9.4587392935340284E-2</v>
      </c>
    </row>
    <row r="38" spans="2:12" x14ac:dyDescent="0.3">
      <c r="B38" s="35" t="s">
        <v>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31B69-7271-4CB5-B0C3-C90EB3811158}">
  <dimension ref="B2:T110"/>
  <sheetViews>
    <sheetView showGridLines="0" topLeftCell="B1" workbookViewId="0">
      <selection activeCell="I4" sqref="I4:J4"/>
    </sheetView>
  </sheetViews>
  <sheetFormatPr defaultRowHeight="14.4" x14ac:dyDescent="0.3"/>
  <cols>
    <col min="1" max="1" width="2.33203125" customWidth="1"/>
    <col min="2" max="2" width="11.5546875" customWidth="1"/>
    <col min="3" max="3" width="16.33203125" customWidth="1"/>
    <col min="4" max="4" width="16.6640625" customWidth="1"/>
    <col min="6" max="6" width="11.5546875" bestFit="1" customWidth="1"/>
    <col min="7" max="7" width="14.44140625" bestFit="1" customWidth="1"/>
    <col min="9" max="9" width="19.33203125" customWidth="1"/>
    <col min="13" max="13" width="16.109375" customWidth="1"/>
    <col min="14" max="14" width="12" customWidth="1"/>
    <col min="16" max="16" width="11.6640625" customWidth="1"/>
    <col min="17" max="17" width="12.88671875" customWidth="1"/>
    <col min="19" max="19" width="11.109375" customWidth="1"/>
    <col min="20" max="20" width="12.44140625" customWidth="1"/>
  </cols>
  <sheetData>
    <row r="2" spans="2:13" x14ac:dyDescent="0.3">
      <c r="B2" s="21" t="s">
        <v>46</v>
      </c>
    </row>
    <row r="3" spans="2:13" x14ac:dyDescent="0.3">
      <c r="B3" s="21"/>
    </row>
    <row r="4" spans="2:13" ht="14.4" customHeight="1" x14ac:dyDescent="0.3">
      <c r="B4" s="208" t="str">
        <f>'Data Sheet'!B1&amp;" "&amp; "Weekly Returns"</f>
        <v>HINDUSTAN UNILEVER LTD Weekly Returns</v>
      </c>
      <c r="C4" s="208"/>
      <c r="D4" s="208"/>
      <c r="F4" s="208" t="s">
        <v>374</v>
      </c>
      <c r="G4" s="208"/>
      <c r="I4" s="209" t="s">
        <v>51</v>
      </c>
      <c r="J4" s="209"/>
      <c r="L4" s="34" t="s">
        <v>57</v>
      </c>
      <c r="M4" s="10">
        <f>SLOPE(D7:D110,G7:G110)</f>
        <v>0.53982593203809304</v>
      </c>
    </row>
    <row r="5" spans="2:13" x14ac:dyDescent="0.3">
      <c r="B5" s="21"/>
      <c r="L5" s="34" t="s">
        <v>58</v>
      </c>
      <c r="M5" s="10">
        <f>_xlfn.COVARIANCE.S(D7:D110,G7:G110)/_xlfn.VAR.S(G7:G110)</f>
        <v>0.53982593203809337</v>
      </c>
    </row>
    <row r="6" spans="2:13" ht="28.8" customHeight="1" x14ac:dyDescent="0.3">
      <c r="B6" s="38" t="s">
        <v>47</v>
      </c>
      <c r="C6" s="38" t="s">
        <v>48</v>
      </c>
      <c r="D6" s="38" t="s">
        <v>49</v>
      </c>
      <c r="F6" s="38" t="s">
        <v>48</v>
      </c>
      <c r="G6" s="38" t="s">
        <v>49</v>
      </c>
      <c r="I6" s="34" t="s">
        <v>52</v>
      </c>
      <c r="J6" s="10">
        <f>M7</f>
        <v>0.53982593203809393</v>
      </c>
      <c r="L6" s="34"/>
    </row>
    <row r="7" spans="2:13" ht="14.4" customHeight="1" x14ac:dyDescent="0.3">
      <c r="B7" s="188">
        <v>45494</v>
      </c>
      <c r="C7" s="37">
        <v>2700.3</v>
      </c>
      <c r="D7" t="s">
        <v>50</v>
      </c>
      <c r="F7" s="37">
        <v>24834.85</v>
      </c>
      <c r="G7" t="s">
        <v>50</v>
      </c>
      <c r="I7" s="34" t="s">
        <v>53</v>
      </c>
      <c r="J7" s="40">
        <v>0.75</v>
      </c>
      <c r="L7" s="34" t="s">
        <v>13</v>
      </c>
      <c r="M7" s="10">
        <f>M26</f>
        <v>0.53982593203809393</v>
      </c>
    </row>
    <row r="8" spans="2:13" ht="14.4" customHeight="1" x14ac:dyDescent="0.3">
      <c r="B8" s="188">
        <v>45501</v>
      </c>
      <c r="C8" s="37">
        <v>2681.87</v>
      </c>
      <c r="D8" s="22">
        <f>C8/C7-1</f>
        <v>-6.8251675739733342E-3</v>
      </c>
      <c r="F8" s="37">
        <v>24717.7</v>
      </c>
      <c r="G8" s="22">
        <f t="shared" ref="G8:G14" si="0">F8/F7-1</f>
        <v>-4.7171615693268887E-3</v>
      </c>
      <c r="I8" s="34"/>
    </row>
    <row r="9" spans="2:13" ht="14.4" customHeight="1" x14ac:dyDescent="0.3">
      <c r="B9" s="188">
        <v>45508</v>
      </c>
      <c r="C9" s="37">
        <v>2736.3</v>
      </c>
      <c r="D9" s="22">
        <f t="shared" ref="D9:D72" si="1">C9/C8-1</f>
        <v>2.0295540052277072E-2</v>
      </c>
      <c r="F9" s="37">
        <v>24367.5</v>
      </c>
      <c r="G9" s="22">
        <f t="shared" si="0"/>
        <v>-1.4167984885325113E-2</v>
      </c>
      <c r="I9" s="34" t="s">
        <v>54</v>
      </c>
      <c r="J9" s="41">
        <v>1</v>
      </c>
      <c r="L9" t="s">
        <v>59</v>
      </c>
    </row>
    <row r="10" spans="2:13" ht="14.4" customHeight="1" thickBot="1" x14ac:dyDescent="0.35">
      <c r="B10" s="188">
        <v>45515</v>
      </c>
      <c r="C10" s="37">
        <v>2737.35</v>
      </c>
      <c r="D10" s="22">
        <f t="shared" si="1"/>
        <v>3.8372985418244632E-4</v>
      </c>
      <c r="F10" s="37">
        <v>24541.15</v>
      </c>
      <c r="G10" s="22">
        <f t="shared" si="0"/>
        <v>7.1262952703396998E-3</v>
      </c>
      <c r="I10" s="34" t="s">
        <v>55</v>
      </c>
      <c r="J10" s="42">
        <v>0.25</v>
      </c>
    </row>
    <row r="11" spans="2:13" ht="14.4" customHeight="1" x14ac:dyDescent="0.3">
      <c r="B11" s="188">
        <v>45522</v>
      </c>
      <c r="C11" s="37">
        <v>2804.43</v>
      </c>
      <c r="D11" s="22">
        <f t="shared" si="1"/>
        <v>2.4505452353553503E-2</v>
      </c>
      <c r="F11" s="37">
        <v>24823.15</v>
      </c>
      <c r="G11" s="22">
        <f t="shared" si="0"/>
        <v>1.1490904052988471E-2</v>
      </c>
      <c r="I11" s="34"/>
      <c r="L11" s="191" t="s">
        <v>60</v>
      </c>
      <c r="M11" s="191"/>
    </row>
    <row r="12" spans="2:13" ht="14.4" customHeight="1" x14ac:dyDescent="0.3">
      <c r="B12" s="188">
        <v>45529</v>
      </c>
      <c r="C12" s="37">
        <v>2766.98</v>
      </c>
      <c r="D12" s="22">
        <f t="shared" si="1"/>
        <v>-1.3353872266378519E-2</v>
      </c>
      <c r="F12" s="37">
        <v>25235.9</v>
      </c>
      <c r="G12" s="22">
        <f t="shared" si="0"/>
        <v>1.6627623810837822E-2</v>
      </c>
      <c r="I12" s="39" t="s">
        <v>56</v>
      </c>
      <c r="J12" s="43">
        <f>(J6*J7)+(J9*J10)</f>
        <v>0.65486944902857047</v>
      </c>
      <c r="L12" t="s">
        <v>61</v>
      </c>
      <c r="M12">
        <v>0.37501271316599427</v>
      </c>
    </row>
    <row r="13" spans="2:13" x14ac:dyDescent="0.3">
      <c r="B13" s="188">
        <v>45536</v>
      </c>
      <c r="C13" s="37">
        <v>2827.69</v>
      </c>
      <c r="D13" s="22">
        <f t="shared" si="1"/>
        <v>2.1940888622252519E-2</v>
      </c>
      <c r="F13" s="37">
        <v>24852.15</v>
      </c>
      <c r="G13" s="22">
        <f t="shared" si="0"/>
        <v>-1.5206511358818231E-2</v>
      </c>
      <c r="L13" t="s">
        <v>62</v>
      </c>
      <c r="M13">
        <v>0.14063453503612031</v>
      </c>
    </row>
    <row r="14" spans="2:13" x14ac:dyDescent="0.3">
      <c r="B14" s="188">
        <v>45543</v>
      </c>
      <c r="C14" s="37">
        <v>2921.32</v>
      </c>
      <c r="D14" s="22">
        <f t="shared" si="1"/>
        <v>3.3111833333922869E-2</v>
      </c>
      <c r="F14" s="37">
        <v>25356.5</v>
      </c>
      <c r="G14" s="22">
        <f t="shared" si="0"/>
        <v>2.0294018827344829E-2</v>
      </c>
      <c r="L14" t="s">
        <v>63</v>
      </c>
      <c r="M14">
        <v>0.1321259660760819</v>
      </c>
    </row>
    <row r="15" spans="2:13" x14ac:dyDescent="0.3">
      <c r="B15" s="188">
        <v>45550</v>
      </c>
      <c r="C15" s="37">
        <v>2965.79</v>
      </c>
      <c r="D15" s="22">
        <f t="shared" si="1"/>
        <v>1.5222570618761422E-2</v>
      </c>
      <c r="F15" s="37">
        <v>25790.95</v>
      </c>
      <c r="G15" s="22">
        <f t="shared" ref="G15:G78" si="2">F15/F14-1</f>
        <v>1.7133673811448702E-2</v>
      </c>
      <c r="L15" t="s">
        <v>64</v>
      </c>
      <c r="M15">
        <v>2.4373936504033564E-2</v>
      </c>
    </row>
    <row r="16" spans="2:13" ht="15" thickBot="1" x14ac:dyDescent="0.35">
      <c r="B16" s="188">
        <v>45557</v>
      </c>
      <c r="C16" s="37">
        <v>2954.49</v>
      </c>
      <c r="D16" s="22">
        <f t="shared" si="1"/>
        <v>-3.8101146743364511E-3</v>
      </c>
      <c r="F16" s="37">
        <v>26178.95</v>
      </c>
      <c r="G16" s="22">
        <f t="shared" si="2"/>
        <v>1.5044036764834123E-2</v>
      </c>
      <c r="L16" s="189" t="s">
        <v>65</v>
      </c>
      <c r="M16" s="189">
        <v>103</v>
      </c>
    </row>
    <row r="17" spans="2:20" x14ac:dyDescent="0.3">
      <c r="B17" s="188">
        <v>45564</v>
      </c>
      <c r="C17" s="37">
        <v>2837.45</v>
      </c>
      <c r="D17" s="22">
        <f t="shared" si="1"/>
        <v>-3.9614281991138922E-2</v>
      </c>
      <c r="F17" s="37">
        <v>25014.6</v>
      </c>
      <c r="G17" s="22">
        <f t="shared" si="2"/>
        <v>-4.4476573735768743E-2</v>
      </c>
    </row>
    <row r="18" spans="2:20" ht="15" thickBot="1" x14ac:dyDescent="0.35">
      <c r="B18" s="188">
        <v>45571</v>
      </c>
      <c r="C18" s="37">
        <v>2772.16</v>
      </c>
      <c r="D18" s="22">
        <f t="shared" si="1"/>
        <v>-2.301009709422186E-2</v>
      </c>
      <c r="F18" s="37">
        <v>24964.25</v>
      </c>
      <c r="G18" s="22">
        <f t="shared" si="2"/>
        <v>-2.0128245104857889E-3</v>
      </c>
      <c r="L18" t="s">
        <v>66</v>
      </c>
    </row>
    <row r="19" spans="2:20" x14ac:dyDescent="0.3">
      <c r="B19" s="188">
        <v>45578</v>
      </c>
      <c r="C19" s="37">
        <v>2706.32</v>
      </c>
      <c r="D19" s="22">
        <f t="shared" si="1"/>
        <v>-2.3750432875447203E-2</v>
      </c>
      <c r="F19" s="37">
        <v>24854.05</v>
      </c>
      <c r="G19" s="22">
        <f t="shared" si="2"/>
        <v>-4.4143124668275524E-3</v>
      </c>
      <c r="L19" s="190"/>
      <c r="M19" s="190" t="s">
        <v>71</v>
      </c>
      <c r="N19" s="190" t="s">
        <v>72</v>
      </c>
      <c r="O19" s="190" t="s">
        <v>73</v>
      </c>
      <c r="P19" s="190" t="s">
        <v>74</v>
      </c>
      <c r="Q19" s="190" t="s">
        <v>75</v>
      </c>
    </row>
    <row r="20" spans="2:20" x14ac:dyDescent="0.3">
      <c r="B20" s="188">
        <v>45585</v>
      </c>
      <c r="C20" s="37">
        <v>2518.02</v>
      </c>
      <c r="D20" s="22">
        <f t="shared" si="1"/>
        <v>-6.9577876969464159E-2</v>
      </c>
      <c r="F20" s="37">
        <v>24180.799999999999</v>
      </c>
      <c r="G20" s="22">
        <f t="shared" si="2"/>
        <v>-2.7088140564616281E-2</v>
      </c>
      <c r="L20" t="s">
        <v>67</v>
      </c>
      <c r="M20">
        <v>1</v>
      </c>
      <c r="N20">
        <v>9.8194420044892053E-3</v>
      </c>
      <c r="O20">
        <v>9.8194420044892053E-3</v>
      </c>
      <c r="P20">
        <v>16.528576743824779</v>
      </c>
      <c r="Q20">
        <v>9.5027014530918254E-5</v>
      </c>
    </row>
    <row r="21" spans="2:20" x14ac:dyDescent="0.3">
      <c r="B21" s="188">
        <v>45592</v>
      </c>
      <c r="C21" s="37">
        <v>2527.44</v>
      </c>
      <c r="D21" s="22">
        <f t="shared" si="1"/>
        <v>3.7410346224415747E-3</v>
      </c>
      <c r="F21" s="37">
        <v>24304.35</v>
      </c>
      <c r="G21" s="22">
        <f t="shared" si="2"/>
        <v>5.1094256600276999E-3</v>
      </c>
      <c r="L21" t="s">
        <v>68</v>
      </c>
      <c r="M21">
        <v>101</v>
      </c>
      <c r="N21">
        <v>6.0002966850968655E-2</v>
      </c>
      <c r="O21">
        <v>5.9408878070265996E-4</v>
      </c>
    </row>
    <row r="22" spans="2:20" ht="15" thickBot="1" x14ac:dyDescent="0.35">
      <c r="B22" s="188">
        <v>45599</v>
      </c>
      <c r="C22" s="37">
        <v>2507.6999999999998</v>
      </c>
      <c r="D22" s="22">
        <f t="shared" si="1"/>
        <v>-7.8102744278797376E-3</v>
      </c>
      <c r="F22" s="37">
        <v>24148.2</v>
      </c>
      <c r="G22" s="22">
        <f t="shared" si="2"/>
        <v>-6.4247758117372822E-3</v>
      </c>
      <c r="L22" s="189" t="s">
        <v>69</v>
      </c>
      <c r="M22" s="189">
        <v>102</v>
      </c>
      <c r="N22" s="189">
        <v>6.982240885545786E-2</v>
      </c>
      <c r="O22" s="189"/>
      <c r="P22" s="189"/>
      <c r="Q22" s="189"/>
    </row>
    <row r="23" spans="2:20" ht="15" thickBot="1" x14ac:dyDescent="0.35">
      <c r="B23" s="188">
        <v>45606</v>
      </c>
      <c r="C23" s="37">
        <v>2389.1999999999998</v>
      </c>
      <c r="D23" s="22">
        <f t="shared" si="1"/>
        <v>-4.7254456274674062E-2</v>
      </c>
      <c r="F23" s="37">
        <v>23532.7</v>
      </c>
      <c r="G23" s="22">
        <f t="shared" si="2"/>
        <v>-2.5488442202731498E-2</v>
      </c>
    </row>
    <row r="24" spans="2:20" x14ac:dyDescent="0.3">
      <c r="B24" s="188">
        <v>45613</v>
      </c>
      <c r="C24" s="37">
        <v>2445.25</v>
      </c>
      <c r="D24" s="22">
        <f t="shared" si="1"/>
        <v>2.3459735476310195E-2</v>
      </c>
      <c r="F24" s="37">
        <v>23907.25</v>
      </c>
      <c r="G24" s="22">
        <f t="shared" si="2"/>
        <v>1.5916150717937061E-2</v>
      </c>
      <c r="L24" s="190"/>
      <c r="M24" s="190" t="s">
        <v>76</v>
      </c>
      <c r="N24" s="190" t="s">
        <v>64</v>
      </c>
      <c r="O24" s="190" t="s">
        <v>77</v>
      </c>
      <c r="P24" s="190" t="s">
        <v>78</v>
      </c>
      <c r="Q24" s="190" t="s">
        <v>79</v>
      </c>
      <c r="R24" s="190" t="s">
        <v>80</v>
      </c>
      <c r="S24" s="190" t="s">
        <v>81</v>
      </c>
      <c r="T24" s="190" t="s">
        <v>82</v>
      </c>
    </row>
    <row r="25" spans="2:20" x14ac:dyDescent="0.3">
      <c r="B25" s="188">
        <v>45620</v>
      </c>
      <c r="C25" s="37">
        <v>2496.15</v>
      </c>
      <c r="D25" s="22">
        <f t="shared" si="1"/>
        <v>2.0815867498210849E-2</v>
      </c>
      <c r="F25" s="37">
        <v>24131.1</v>
      </c>
      <c r="G25" s="22">
        <f t="shared" si="2"/>
        <v>9.3632684645870157E-3</v>
      </c>
      <c r="L25" t="s">
        <v>70</v>
      </c>
      <c r="M25">
        <v>-1.8250932762089538E-3</v>
      </c>
      <c r="N25">
        <v>2.4017060564509927E-3</v>
      </c>
      <c r="O25">
        <v>-0.75991534072487577</v>
      </c>
      <c r="P25">
        <v>0.44907536665280734</v>
      </c>
      <c r="Q25">
        <v>-6.5894320403770317E-3</v>
      </c>
      <c r="R25">
        <v>2.9392454879591237E-3</v>
      </c>
      <c r="S25">
        <v>-6.5894320403770317E-3</v>
      </c>
      <c r="T25">
        <v>2.9392454879591237E-3</v>
      </c>
    </row>
    <row r="26" spans="2:20" ht="15" thickBot="1" x14ac:dyDescent="0.35">
      <c r="B26" s="188">
        <v>45627</v>
      </c>
      <c r="C26" s="37">
        <v>2483.8000000000002</v>
      </c>
      <c r="D26" s="22">
        <f t="shared" si="1"/>
        <v>-4.9476193337739671E-3</v>
      </c>
      <c r="F26" s="37">
        <v>24677.8</v>
      </c>
      <c r="G26" s="22">
        <f t="shared" si="2"/>
        <v>2.2655411481449228E-2</v>
      </c>
      <c r="L26" s="189" t="s">
        <v>83</v>
      </c>
      <c r="M26" s="189">
        <v>0.53982593203809393</v>
      </c>
      <c r="N26" s="189">
        <v>0.13278102411781895</v>
      </c>
      <c r="O26" s="189">
        <v>4.0655352346062408</v>
      </c>
      <c r="P26" s="189">
        <v>9.5027014530916221E-5</v>
      </c>
      <c r="Q26" s="189">
        <v>0.27642409789138062</v>
      </c>
      <c r="R26" s="189">
        <v>0.80322776618480729</v>
      </c>
      <c r="S26" s="189">
        <v>0.27642409789138062</v>
      </c>
      <c r="T26" s="189">
        <v>0.80322776618480729</v>
      </c>
    </row>
    <row r="27" spans="2:20" x14ac:dyDescent="0.3">
      <c r="B27" s="188">
        <v>45634</v>
      </c>
      <c r="C27" s="37">
        <v>2390.1</v>
      </c>
      <c r="D27" s="22">
        <f t="shared" si="1"/>
        <v>-3.7724454464932888E-2</v>
      </c>
      <c r="F27" s="37">
        <v>24768.3</v>
      </c>
      <c r="G27" s="22">
        <f t="shared" si="2"/>
        <v>3.6672636944945491E-3</v>
      </c>
    </row>
    <row r="28" spans="2:20" x14ac:dyDescent="0.3">
      <c r="B28" s="188">
        <v>45641</v>
      </c>
      <c r="C28" s="37">
        <v>2333.9</v>
      </c>
      <c r="D28" s="22">
        <f t="shared" si="1"/>
        <v>-2.3513660516296331E-2</v>
      </c>
      <c r="F28" s="37">
        <v>23587.5</v>
      </c>
      <c r="G28" s="22">
        <f t="shared" si="2"/>
        <v>-4.7673841159869612E-2</v>
      </c>
    </row>
    <row r="29" spans="2:20" x14ac:dyDescent="0.3">
      <c r="B29" s="188">
        <v>45648</v>
      </c>
      <c r="C29" s="37">
        <v>2341.25</v>
      </c>
      <c r="D29" s="22">
        <f t="shared" si="1"/>
        <v>3.1492351857405065E-3</v>
      </c>
      <c r="F29" s="37">
        <v>23813.4</v>
      </c>
      <c r="G29" s="22">
        <f t="shared" si="2"/>
        <v>9.5771065182830295E-3</v>
      </c>
    </row>
    <row r="30" spans="2:20" x14ac:dyDescent="0.3">
      <c r="B30" s="188">
        <v>45655</v>
      </c>
      <c r="C30" s="37">
        <v>2406.25</v>
      </c>
      <c r="D30" s="22">
        <f t="shared" si="1"/>
        <v>2.7762947143619821E-2</v>
      </c>
      <c r="F30" s="37">
        <v>24004.75</v>
      </c>
      <c r="G30" s="22">
        <f t="shared" si="2"/>
        <v>8.035391838208783E-3</v>
      </c>
    </row>
    <row r="31" spans="2:20" x14ac:dyDescent="0.3">
      <c r="B31" s="188">
        <v>45662</v>
      </c>
      <c r="C31" s="37">
        <v>2442.0500000000002</v>
      </c>
      <c r="D31" s="22">
        <f t="shared" si="1"/>
        <v>1.4877922077922046E-2</v>
      </c>
      <c r="F31" s="37">
        <v>23431.5</v>
      </c>
      <c r="G31" s="22">
        <f t="shared" si="2"/>
        <v>-2.3880690280048689E-2</v>
      </c>
    </row>
    <row r="32" spans="2:20" x14ac:dyDescent="0.3">
      <c r="B32" s="188">
        <v>45669</v>
      </c>
      <c r="C32" s="37">
        <v>2354</v>
      </c>
      <c r="D32" s="22">
        <f t="shared" si="1"/>
        <v>-3.6055772813824549E-2</v>
      </c>
      <c r="F32" s="37">
        <v>23203.200000000001</v>
      </c>
      <c r="G32" s="22">
        <f t="shared" si="2"/>
        <v>-9.7432942833365344E-3</v>
      </c>
    </row>
    <row r="33" spans="2:7" x14ac:dyDescent="0.3">
      <c r="B33" s="188">
        <v>45676</v>
      </c>
      <c r="C33" s="37">
        <v>2368.1</v>
      </c>
      <c r="D33" s="22">
        <f t="shared" si="1"/>
        <v>5.98980458793541E-3</v>
      </c>
      <c r="F33" s="37">
        <v>23092.2</v>
      </c>
      <c r="G33" s="22">
        <f t="shared" si="2"/>
        <v>-4.7838229209764549E-3</v>
      </c>
    </row>
    <row r="34" spans="2:7" x14ac:dyDescent="0.3">
      <c r="B34" s="188">
        <v>45683</v>
      </c>
      <c r="C34" s="37">
        <v>2468.8000000000002</v>
      </c>
      <c r="D34" s="22">
        <f t="shared" si="1"/>
        <v>4.2523542080148857E-2</v>
      </c>
      <c r="F34" s="37">
        <v>23508.400000000001</v>
      </c>
      <c r="G34" s="22">
        <f t="shared" si="2"/>
        <v>1.8023401841314346E-2</v>
      </c>
    </row>
    <row r="35" spans="2:7" x14ac:dyDescent="0.3">
      <c r="B35" s="188">
        <v>45690</v>
      </c>
      <c r="C35" s="37">
        <v>2363.85</v>
      </c>
      <c r="D35" s="22">
        <f t="shared" si="1"/>
        <v>-4.2510531432274901E-2</v>
      </c>
      <c r="F35" s="37">
        <v>23559.95</v>
      </c>
      <c r="G35" s="22">
        <f t="shared" si="2"/>
        <v>2.1928332000475947E-3</v>
      </c>
    </row>
    <row r="36" spans="2:7" x14ac:dyDescent="0.3">
      <c r="B36" s="188">
        <v>45697</v>
      </c>
      <c r="C36" s="37">
        <v>2318.35</v>
      </c>
      <c r="D36" s="22">
        <f t="shared" si="1"/>
        <v>-1.9248260253400207E-2</v>
      </c>
      <c r="F36" s="37">
        <v>22929.25</v>
      </c>
      <c r="G36" s="22">
        <f t="shared" si="2"/>
        <v>-2.6770005878620329E-2</v>
      </c>
    </row>
    <row r="37" spans="2:7" x14ac:dyDescent="0.3">
      <c r="B37" s="188">
        <v>45704</v>
      </c>
      <c r="C37" s="37">
        <v>2241.65</v>
      </c>
      <c r="D37" s="22">
        <f t="shared" si="1"/>
        <v>-3.3083874307157979E-2</v>
      </c>
      <c r="F37" s="37">
        <v>22795.9</v>
      </c>
      <c r="G37" s="22">
        <f t="shared" si="2"/>
        <v>-5.8157157342695331E-3</v>
      </c>
    </row>
    <row r="38" spans="2:7" x14ac:dyDescent="0.3">
      <c r="B38" s="188">
        <v>45711</v>
      </c>
      <c r="C38" s="37">
        <v>2190.25</v>
      </c>
      <c r="D38" s="22">
        <f t="shared" si="1"/>
        <v>-2.2929538509580016E-2</v>
      </c>
      <c r="F38" s="37">
        <v>22124.7</v>
      </c>
      <c r="G38" s="22">
        <f t="shared" si="2"/>
        <v>-2.9443891226053842E-2</v>
      </c>
    </row>
    <row r="39" spans="2:7" x14ac:dyDescent="0.3">
      <c r="B39" s="188">
        <v>45718</v>
      </c>
      <c r="C39" s="37">
        <v>2204.5500000000002</v>
      </c>
      <c r="D39" s="22">
        <f t="shared" si="1"/>
        <v>6.5289350530761681E-3</v>
      </c>
      <c r="F39" s="37">
        <v>22552.5</v>
      </c>
      <c r="G39" s="22">
        <f t="shared" si="2"/>
        <v>1.9335855401429125E-2</v>
      </c>
    </row>
    <row r="40" spans="2:7" x14ac:dyDescent="0.3">
      <c r="B40" s="188">
        <v>45725</v>
      </c>
      <c r="C40" s="37">
        <v>2174.8000000000002</v>
      </c>
      <c r="D40" s="22">
        <f t="shared" si="1"/>
        <v>-1.3494817536458648E-2</v>
      </c>
      <c r="F40" s="37">
        <v>22397.200000000001</v>
      </c>
      <c r="G40" s="22">
        <f t="shared" si="2"/>
        <v>-6.8861545283227521E-3</v>
      </c>
    </row>
    <row r="41" spans="2:7" x14ac:dyDescent="0.3">
      <c r="B41" s="188">
        <v>45732</v>
      </c>
      <c r="C41" s="37">
        <v>2246.1999999999998</v>
      </c>
      <c r="D41" s="22">
        <f t="shared" si="1"/>
        <v>3.2830605113113753E-2</v>
      </c>
      <c r="F41" s="37">
        <v>23350.400000000001</v>
      </c>
      <c r="G41" s="22">
        <f t="shared" si="2"/>
        <v>4.2558891289982803E-2</v>
      </c>
    </row>
    <row r="42" spans="2:7" x14ac:dyDescent="0.3">
      <c r="B42" s="188">
        <v>45739</v>
      </c>
      <c r="C42" s="37">
        <v>2258.85</v>
      </c>
      <c r="D42" s="22">
        <f t="shared" si="1"/>
        <v>5.631733594515298E-3</v>
      </c>
      <c r="F42" s="37">
        <v>23519.35</v>
      </c>
      <c r="G42" s="22">
        <f t="shared" si="2"/>
        <v>7.2354220912702605E-3</v>
      </c>
    </row>
    <row r="43" spans="2:7" x14ac:dyDescent="0.3">
      <c r="B43" s="188">
        <v>45746</v>
      </c>
      <c r="C43" s="37">
        <v>2244.5500000000002</v>
      </c>
      <c r="D43" s="22">
        <f t="shared" si="1"/>
        <v>-6.3306549793035183E-3</v>
      </c>
      <c r="F43" s="37">
        <v>22904.45</v>
      </c>
      <c r="G43" s="22">
        <f t="shared" si="2"/>
        <v>-2.6144430011883713E-2</v>
      </c>
    </row>
    <row r="44" spans="2:7" x14ac:dyDescent="0.3">
      <c r="B44" s="188">
        <v>45753</v>
      </c>
      <c r="C44" s="37">
        <v>2366.15</v>
      </c>
      <c r="D44" s="22">
        <f t="shared" si="1"/>
        <v>5.417566995611578E-2</v>
      </c>
      <c r="F44" s="37">
        <v>22828.55</v>
      </c>
      <c r="G44" s="22">
        <f t="shared" si="2"/>
        <v>-3.3137665388167648E-3</v>
      </c>
    </row>
    <row r="45" spans="2:7" x14ac:dyDescent="0.3">
      <c r="B45" s="188">
        <v>45760</v>
      </c>
      <c r="C45" s="37">
        <v>2375</v>
      </c>
      <c r="D45" s="22">
        <f t="shared" si="1"/>
        <v>3.740253153857509E-3</v>
      </c>
      <c r="F45" s="37">
        <v>23851.65</v>
      </c>
      <c r="G45" s="22">
        <f t="shared" si="2"/>
        <v>4.4816687875489425E-2</v>
      </c>
    </row>
    <row r="46" spans="2:7" x14ac:dyDescent="0.3">
      <c r="B46" s="188">
        <v>45767</v>
      </c>
      <c r="C46" s="37">
        <v>2332.1999999999998</v>
      </c>
      <c r="D46" s="22">
        <f t="shared" si="1"/>
        <v>-1.8021052631579049E-2</v>
      </c>
      <c r="F46" s="37">
        <v>24039.35</v>
      </c>
      <c r="G46" s="22">
        <f t="shared" si="2"/>
        <v>7.86947653516612E-3</v>
      </c>
    </row>
    <row r="47" spans="2:7" x14ac:dyDescent="0.3">
      <c r="B47" s="188">
        <v>45774</v>
      </c>
      <c r="C47" s="37">
        <v>2323.9</v>
      </c>
      <c r="D47" s="22">
        <f t="shared" si="1"/>
        <v>-3.5588714518479669E-3</v>
      </c>
      <c r="F47" s="37">
        <v>24346.7</v>
      </c>
      <c r="G47" s="22">
        <f t="shared" si="2"/>
        <v>1.2785287455775673E-2</v>
      </c>
    </row>
    <row r="48" spans="2:7" x14ac:dyDescent="0.3">
      <c r="B48" s="188">
        <v>45781</v>
      </c>
      <c r="C48" s="37">
        <v>2332.9</v>
      </c>
      <c r="D48" s="22">
        <f t="shared" si="1"/>
        <v>3.8728000344248059E-3</v>
      </c>
      <c r="F48" s="37">
        <v>24008</v>
      </c>
      <c r="G48" s="22">
        <f t="shared" si="2"/>
        <v>-1.391153626569519E-2</v>
      </c>
    </row>
    <row r="49" spans="2:7" x14ac:dyDescent="0.3">
      <c r="B49" s="188">
        <v>45788</v>
      </c>
      <c r="C49" s="37">
        <v>2381.4</v>
      </c>
      <c r="D49" s="22">
        <f t="shared" si="1"/>
        <v>2.0789575206824118E-2</v>
      </c>
      <c r="F49" s="37">
        <v>25019.8</v>
      </c>
      <c r="G49" s="22">
        <f t="shared" si="2"/>
        <v>4.2144285238253865E-2</v>
      </c>
    </row>
    <row r="50" spans="2:7" x14ac:dyDescent="0.3">
      <c r="B50" s="188">
        <v>45795</v>
      </c>
      <c r="C50" s="37">
        <v>2359.1999999999998</v>
      </c>
      <c r="D50" s="22">
        <f t="shared" si="1"/>
        <v>-9.3222474174856629E-3</v>
      </c>
      <c r="F50" s="37">
        <v>24853.15</v>
      </c>
      <c r="G50" s="22">
        <f t="shared" si="2"/>
        <v>-6.660724706032739E-3</v>
      </c>
    </row>
    <row r="51" spans="2:7" x14ac:dyDescent="0.3">
      <c r="B51" s="188">
        <v>45802</v>
      </c>
      <c r="C51" s="37">
        <v>2348.3000000000002</v>
      </c>
      <c r="D51" s="22">
        <f t="shared" si="1"/>
        <v>-4.6202102407594259E-3</v>
      </c>
      <c r="F51" s="37">
        <v>24750.7</v>
      </c>
      <c r="G51" s="22">
        <f t="shared" si="2"/>
        <v>-4.1222138843567402E-3</v>
      </c>
    </row>
    <row r="52" spans="2:7" x14ac:dyDescent="0.3">
      <c r="B52" s="188">
        <v>45809</v>
      </c>
      <c r="C52" s="37">
        <v>2389.8000000000002</v>
      </c>
      <c r="D52" s="22">
        <f t="shared" si="1"/>
        <v>1.7672358727590209E-2</v>
      </c>
      <c r="F52" s="37">
        <v>25003.05</v>
      </c>
      <c r="G52" s="22">
        <f t="shared" si="2"/>
        <v>1.0195671233540704E-2</v>
      </c>
    </row>
    <row r="53" spans="2:7" x14ac:dyDescent="0.3">
      <c r="B53" s="188">
        <v>45816</v>
      </c>
      <c r="C53" s="37">
        <v>2319</v>
      </c>
      <c r="D53" s="22">
        <f t="shared" si="1"/>
        <v>-2.9625910118001531E-2</v>
      </c>
      <c r="F53" s="37">
        <v>24718.6</v>
      </c>
      <c r="G53" s="22">
        <f t="shared" si="2"/>
        <v>-1.1376612053329516E-2</v>
      </c>
    </row>
    <row r="54" spans="2:7" x14ac:dyDescent="0.3">
      <c r="B54" s="188">
        <v>45823</v>
      </c>
      <c r="C54" s="37">
        <v>2306.1999999999998</v>
      </c>
      <c r="D54" s="22">
        <f t="shared" si="1"/>
        <v>-5.5196205260888975E-3</v>
      </c>
      <c r="F54" s="37">
        <v>25112.400000000001</v>
      </c>
      <c r="G54" s="22">
        <f t="shared" si="2"/>
        <v>1.5931322971365791E-2</v>
      </c>
    </row>
    <row r="55" spans="2:7" x14ac:dyDescent="0.3">
      <c r="B55" s="188">
        <v>45830</v>
      </c>
      <c r="C55" s="37">
        <v>2306.9</v>
      </c>
      <c r="D55" s="22">
        <f t="shared" si="1"/>
        <v>3.0352961581825433E-4</v>
      </c>
      <c r="F55" s="37">
        <v>25637.8</v>
      </c>
      <c r="G55" s="22">
        <f t="shared" si="2"/>
        <v>2.092193498032846E-2</v>
      </c>
    </row>
    <row r="56" spans="2:7" x14ac:dyDescent="0.3">
      <c r="B56" s="188">
        <v>45837</v>
      </c>
      <c r="C56" s="37">
        <v>2339.3000000000002</v>
      </c>
      <c r="D56" s="22">
        <f t="shared" si="1"/>
        <v>1.4044822055572448E-2</v>
      </c>
      <c r="F56" s="37">
        <v>25461</v>
      </c>
      <c r="G56" s="22">
        <f t="shared" si="2"/>
        <v>-6.8960675252947023E-3</v>
      </c>
    </row>
    <row r="57" spans="2:7" x14ac:dyDescent="0.3">
      <c r="B57" s="188">
        <v>45844</v>
      </c>
      <c r="C57" s="37">
        <v>2519.6</v>
      </c>
      <c r="D57" s="22">
        <f t="shared" si="1"/>
        <v>7.7074338477322257E-2</v>
      </c>
      <c r="F57" s="37">
        <v>25149.85</v>
      </c>
      <c r="G57" s="22">
        <f t="shared" si="2"/>
        <v>-1.2220651192019205E-2</v>
      </c>
    </row>
    <row r="58" spans="2:7" x14ac:dyDescent="0.3">
      <c r="B58" s="188">
        <v>45851</v>
      </c>
      <c r="C58" s="37">
        <v>2489.6</v>
      </c>
      <c r="D58" s="22">
        <f t="shared" si="1"/>
        <v>-1.1906651849499905E-2</v>
      </c>
      <c r="F58" s="37">
        <v>24968.400000000001</v>
      </c>
      <c r="G58" s="22">
        <f t="shared" si="2"/>
        <v>-7.214754759968578E-3</v>
      </c>
    </row>
    <row r="59" spans="2:7" x14ac:dyDescent="0.3">
      <c r="B59" s="188">
        <v>45858</v>
      </c>
      <c r="C59" s="37">
        <v>2415.4</v>
      </c>
      <c r="D59" s="22">
        <f t="shared" si="1"/>
        <v>-2.980398457583544E-2</v>
      </c>
      <c r="F59" s="37">
        <v>24837</v>
      </c>
      <c r="G59" s="22">
        <f t="shared" si="2"/>
        <v>-5.2626519921180615E-3</v>
      </c>
    </row>
    <row r="60" spans="2:7" x14ac:dyDescent="0.3">
      <c r="B60" s="188">
        <v>45865</v>
      </c>
      <c r="C60" s="37">
        <v>2553.6999999999998</v>
      </c>
      <c r="D60" s="22">
        <f t="shared" si="1"/>
        <v>5.7257597085368817E-2</v>
      </c>
      <c r="F60" s="37">
        <v>24565.35</v>
      </c>
      <c r="G60" s="22">
        <f t="shared" si="2"/>
        <v>-1.0937311269477057E-2</v>
      </c>
    </row>
    <row r="61" spans="2:7" x14ac:dyDescent="0.3">
      <c r="B61" s="188">
        <v>45872</v>
      </c>
      <c r="C61" s="37">
        <v>2498.6</v>
      </c>
      <c r="D61" s="22">
        <f t="shared" si="1"/>
        <v>-2.1576536006578606E-2</v>
      </c>
      <c r="F61" s="37">
        <v>24363.3</v>
      </c>
      <c r="G61" s="22">
        <f t="shared" si="2"/>
        <v>-8.2249998473459263E-3</v>
      </c>
    </row>
    <row r="62" spans="2:7" x14ac:dyDescent="0.3">
      <c r="B62" s="188">
        <v>45879</v>
      </c>
      <c r="C62" s="37">
        <v>2480.6</v>
      </c>
      <c r="D62" s="22">
        <f t="shared" si="1"/>
        <v>-7.2040342591851436E-3</v>
      </c>
      <c r="F62" s="37">
        <v>24631.3</v>
      </c>
      <c r="G62" s="22">
        <f t="shared" si="2"/>
        <v>1.100015186776826E-2</v>
      </c>
    </row>
    <row r="63" spans="2:7" x14ac:dyDescent="0.3">
      <c r="B63" s="188">
        <v>45886</v>
      </c>
      <c r="C63" s="37">
        <v>2629.9</v>
      </c>
      <c r="D63" s="22">
        <f t="shared" si="1"/>
        <v>6.0187051519793755E-2</v>
      </c>
      <c r="F63" s="37">
        <v>24870.1</v>
      </c>
      <c r="G63" s="22">
        <f t="shared" si="2"/>
        <v>9.6949815884666002E-3</v>
      </c>
    </row>
    <row r="64" spans="2:7" x14ac:dyDescent="0.3">
      <c r="B64" s="188">
        <v>45893</v>
      </c>
      <c r="C64" s="37">
        <v>2659.8</v>
      </c>
      <c r="D64" s="22">
        <f t="shared" si="1"/>
        <v>1.1369253583786598E-2</v>
      </c>
      <c r="F64" s="37">
        <v>24426.85</v>
      </c>
      <c r="G64" s="22">
        <f t="shared" si="2"/>
        <v>-1.7822606262138052E-2</v>
      </c>
    </row>
    <row r="65" spans="2:7" x14ac:dyDescent="0.3">
      <c r="B65" s="188">
        <v>45900</v>
      </c>
      <c r="C65" s="37">
        <v>2633.4</v>
      </c>
      <c r="D65" s="22">
        <f t="shared" si="1"/>
        <v>-9.9255583126550695E-3</v>
      </c>
      <c r="F65" s="37">
        <v>24741</v>
      </c>
      <c r="G65" s="22">
        <f t="shared" si="2"/>
        <v>1.2860847796584585E-2</v>
      </c>
    </row>
    <row r="66" spans="2:7" x14ac:dyDescent="0.3">
      <c r="B66" s="188">
        <v>45907</v>
      </c>
      <c r="C66" s="37">
        <v>2580.5</v>
      </c>
      <c r="D66" s="22">
        <f t="shared" si="1"/>
        <v>-2.0088099035467488E-2</v>
      </c>
      <c r="F66" s="37">
        <v>25114</v>
      </c>
      <c r="G66" s="22">
        <f t="shared" si="2"/>
        <v>1.5076189321369338E-2</v>
      </c>
    </row>
    <row r="67" spans="2:7" x14ac:dyDescent="0.3">
      <c r="B67" s="188">
        <v>45914</v>
      </c>
      <c r="C67" s="37">
        <v>2559.6</v>
      </c>
      <c r="D67" s="22">
        <f t="shared" si="1"/>
        <v>-8.0992055803139618E-3</v>
      </c>
      <c r="F67" s="37">
        <v>25327.05</v>
      </c>
      <c r="G67" s="22">
        <f t="shared" si="2"/>
        <v>8.4833160786812467E-3</v>
      </c>
    </row>
    <row r="68" spans="2:7" x14ac:dyDescent="0.3">
      <c r="B68" s="188">
        <v>45921</v>
      </c>
      <c r="C68" s="37">
        <v>2511.8000000000002</v>
      </c>
      <c r="D68" s="22">
        <f t="shared" si="1"/>
        <v>-1.8674792936396178E-2</v>
      </c>
      <c r="F68" s="37">
        <v>24654.7</v>
      </c>
      <c r="G68" s="22">
        <f t="shared" si="2"/>
        <v>-2.6546715863079107E-2</v>
      </c>
    </row>
    <row r="69" spans="2:7" x14ac:dyDescent="0.3">
      <c r="B69" s="188">
        <v>45928</v>
      </c>
      <c r="C69" s="37">
        <v>2544.9</v>
      </c>
      <c r="D69" s="22">
        <f t="shared" si="1"/>
        <v>1.3177800780316939E-2</v>
      </c>
      <c r="F69" s="37">
        <v>24894.25</v>
      </c>
      <c r="G69" s="22">
        <f t="shared" si="2"/>
        <v>9.7162001565624934E-3</v>
      </c>
    </row>
    <row r="70" spans="2:7" x14ac:dyDescent="0.3">
      <c r="B70" s="188">
        <v>45935</v>
      </c>
      <c r="C70" s="37">
        <v>2528.9</v>
      </c>
      <c r="D70" s="22">
        <f t="shared" si="1"/>
        <v>-6.2870839718652816E-3</v>
      </c>
      <c r="F70" s="37">
        <v>25285.35</v>
      </c>
      <c r="G70" s="22">
        <f t="shared" si="2"/>
        <v>1.5710455225604214E-2</v>
      </c>
    </row>
    <row r="71" spans="2:7" x14ac:dyDescent="0.3">
      <c r="B71" s="188">
        <v>45942</v>
      </c>
      <c r="C71" s="37">
        <v>2603.6999999999998</v>
      </c>
      <c r="D71" s="22">
        <f t="shared" si="1"/>
        <v>2.9578077424967208E-2</v>
      </c>
      <c r="F71" s="37">
        <v>25709.85</v>
      </c>
      <c r="G71" s="22">
        <f t="shared" si="2"/>
        <v>1.6788377459675319E-2</v>
      </c>
    </row>
    <row r="72" spans="2:7" x14ac:dyDescent="0.3">
      <c r="B72" s="188">
        <v>45949</v>
      </c>
      <c r="C72" s="37">
        <v>2516.4</v>
      </c>
      <c r="D72" s="22">
        <f t="shared" si="1"/>
        <v>-3.3529208434151303E-2</v>
      </c>
      <c r="F72" s="37">
        <v>25795.15</v>
      </c>
      <c r="G72" s="22">
        <f t="shared" si="2"/>
        <v>3.3177945417808274E-3</v>
      </c>
    </row>
    <row r="73" spans="2:7" x14ac:dyDescent="0.3">
      <c r="B73" s="188">
        <v>45956</v>
      </c>
      <c r="C73" s="37">
        <v>2465.5</v>
      </c>
      <c r="D73" s="22">
        <f t="shared" ref="D73:D110" si="3">C73/C72-1</f>
        <v>-2.0227308853918324E-2</v>
      </c>
      <c r="F73" s="37">
        <v>25722.1</v>
      </c>
      <c r="G73" s="22">
        <f t="shared" si="2"/>
        <v>-2.8319277073404203E-3</v>
      </c>
    </row>
    <row r="74" spans="2:7" x14ac:dyDescent="0.3">
      <c r="B74" s="188">
        <v>45963</v>
      </c>
      <c r="C74" s="37">
        <v>2414</v>
      </c>
      <c r="D74" s="22">
        <f t="shared" si="3"/>
        <v>-2.0888257959845835E-2</v>
      </c>
      <c r="F74" s="37">
        <v>25492.3</v>
      </c>
      <c r="G74" s="22">
        <f t="shared" si="2"/>
        <v>-8.9339517379996014E-3</v>
      </c>
    </row>
    <row r="75" spans="2:7" x14ac:dyDescent="0.3">
      <c r="B75" s="188">
        <v>45970</v>
      </c>
      <c r="C75" s="37">
        <v>2388.06</v>
      </c>
      <c r="D75" s="22">
        <f t="shared" si="3"/>
        <v>-1.0745650372825155E-2</v>
      </c>
      <c r="F75" s="37">
        <v>25910.05</v>
      </c>
      <c r="G75" s="22">
        <f t="shared" si="2"/>
        <v>1.6387301263518728E-2</v>
      </c>
    </row>
    <row r="76" spans="2:7" x14ac:dyDescent="0.3">
      <c r="B76" s="188">
        <v>45977</v>
      </c>
      <c r="C76" s="37">
        <v>2393.9699999999998</v>
      </c>
      <c r="D76" s="22">
        <f t="shared" si="3"/>
        <v>2.4748121906483789E-3</v>
      </c>
      <c r="F76" s="37">
        <v>26068.15</v>
      </c>
      <c r="G76" s="22">
        <f t="shared" si="2"/>
        <v>6.1018793865701415E-3</v>
      </c>
    </row>
    <row r="77" spans="2:7" x14ac:dyDescent="0.3">
      <c r="B77" s="188">
        <v>45984</v>
      </c>
      <c r="C77" s="37">
        <v>2426.33</v>
      </c>
      <c r="D77" s="22">
        <f t="shared" si="3"/>
        <v>1.3517295538373553E-2</v>
      </c>
      <c r="F77" s="37">
        <v>26202.95</v>
      </c>
      <c r="G77" s="22">
        <f t="shared" si="2"/>
        <v>5.1710612375637233E-3</v>
      </c>
    </row>
    <row r="78" spans="2:7" x14ac:dyDescent="0.3">
      <c r="B78" s="188">
        <v>45991</v>
      </c>
      <c r="C78" s="37">
        <v>2338.6</v>
      </c>
      <c r="D78" s="22">
        <f t="shared" si="3"/>
        <v>-3.6157488882386124E-2</v>
      </c>
      <c r="F78" s="37">
        <v>26186.45</v>
      </c>
      <c r="G78" s="22">
        <f t="shared" si="2"/>
        <v>-6.297000910202577E-4</v>
      </c>
    </row>
    <row r="79" spans="2:7" x14ac:dyDescent="0.3">
      <c r="B79" s="188">
        <v>45998</v>
      </c>
      <c r="C79" s="37">
        <v>2260.6</v>
      </c>
      <c r="D79" s="22">
        <f t="shared" si="3"/>
        <v>-3.335328829214057E-2</v>
      </c>
      <c r="F79" s="37">
        <v>26046.95</v>
      </c>
      <c r="G79" s="22">
        <f t="shared" ref="G79:G110" si="4">F79/F78-1</f>
        <v>-5.3271825696113995E-3</v>
      </c>
    </row>
    <row r="80" spans="2:7" x14ac:dyDescent="0.3">
      <c r="B80" s="188">
        <v>46005</v>
      </c>
      <c r="C80" s="37">
        <v>2280</v>
      </c>
      <c r="D80" s="22">
        <f t="shared" si="3"/>
        <v>8.5817924444837601E-3</v>
      </c>
      <c r="F80" s="37">
        <v>25966.400000000001</v>
      </c>
      <c r="G80" s="22">
        <f t="shared" si="4"/>
        <v>-3.0924925951022475E-3</v>
      </c>
    </row>
    <row r="81" spans="2:7" x14ac:dyDescent="0.3">
      <c r="B81" s="188">
        <v>46012</v>
      </c>
      <c r="C81" s="37">
        <v>2285.4</v>
      </c>
      <c r="D81" s="22">
        <f t="shared" si="3"/>
        <v>2.3684210526315752E-3</v>
      </c>
      <c r="F81" s="37">
        <v>26042.3</v>
      </c>
      <c r="G81" s="22">
        <f t="shared" si="4"/>
        <v>2.9230081952060782E-3</v>
      </c>
    </row>
    <row r="82" spans="2:7" x14ac:dyDescent="0.3">
      <c r="B82" s="188">
        <v>46019</v>
      </c>
      <c r="C82" s="37">
        <v>2348</v>
      </c>
      <c r="D82" s="22">
        <f t="shared" si="3"/>
        <v>2.7391266299116035E-2</v>
      </c>
      <c r="F82" s="37">
        <v>26328.55</v>
      </c>
      <c r="G82" s="22">
        <f t="shared" si="4"/>
        <v>1.0991732681061128E-2</v>
      </c>
    </row>
    <row r="83" spans="2:7" x14ac:dyDescent="0.3">
      <c r="B83" s="188">
        <v>46026</v>
      </c>
      <c r="C83" s="37">
        <v>2372.6</v>
      </c>
      <c r="D83" s="22">
        <f t="shared" si="3"/>
        <v>1.0477001703577571E-2</v>
      </c>
      <c r="F83" s="37">
        <v>25683.3</v>
      </c>
      <c r="G83" s="22">
        <f t="shared" si="4"/>
        <v>-2.4507616256877029E-2</v>
      </c>
    </row>
    <row r="84" spans="2:7" x14ac:dyDescent="0.3">
      <c r="B84" s="188">
        <v>46033</v>
      </c>
      <c r="C84" s="37">
        <v>2360.4</v>
      </c>
      <c r="D84" s="22">
        <f t="shared" si="3"/>
        <v>-5.1420382702519474E-3</v>
      </c>
      <c r="F84" s="37">
        <v>25694.35</v>
      </c>
      <c r="G84" s="22">
        <f t="shared" si="4"/>
        <v>4.3024066222008273E-4</v>
      </c>
    </row>
    <row r="85" spans="2:7" x14ac:dyDescent="0.3">
      <c r="B85" s="188">
        <v>46040</v>
      </c>
      <c r="C85" s="37">
        <v>2409.5</v>
      </c>
      <c r="D85" s="22">
        <f t="shared" si="3"/>
        <v>2.08015590577868E-2</v>
      </c>
      <c r="F85" s="37">
        <v>25048.65</v>
      </c>
      <c r="G85" s="22">
        <f t="shared" si="4"/>
        <v>-2.5130038315816394E-2</v>
      </c>
    </row>
    <row r="86" spans="2:7" x14ac:dyDescent="0.3">
      <c r="B86" s="188">
        <v>46047</v>
      </c>
      <c r="C86" s="37">
        <v>2373</v>
      </c>
      <c r="D86" s="22">
        <f t="shared" si="3"/>
        <v>-1.5148371031334262E-2</v>
      </c>
      <c r="F86" s="37">
        <v>25320.65</v>
      </c>
      <c r="G86" s="22">
        <f t="shared" si="4"/>
        <v>1.0858868641623332E-2</v>
      </c>
    </row>
    <row r="87" spans="2:7" x14ac:dyDescent="0.3">
      <c r="B87" s="188">
        <v>46054</v>
      </c>
      <c r="C87" s="37">
        <v>2424.1999999999998</v>
      </c>
      <c r="D87" s="22">
        <f t="shared" si="3"/>
        <v>2.1576064053940192E-2</v>
      </c>
      <c r="F87" s="37">
        <v>25693.7</v>
      </c>
      <c r="G87" s="22">
        <f t="shared" si="4"/>
        <v>1.4733034104574605E-2</v>
      </c>
    </row>
    <row r="88" spans="2:7" x14ac:dyDescent="0.3">
      <c r="B88" s="188">
        <v>46061</v>
      </c>
      <c r="C88" s="37">
        <v>2305.1999999999998</v>
      </c>
      <c r="D88" s="22">
        <f t="shared" si="3"/>
        <v>-4.9088359046283281E-2</v>
      </c>
      <c r="F88" s="37">
        <v>25471.1</v>
      </c>
      <c r="G88" s="22">
        <f t="shared" si="4"/>
        <v>-8.6636023616685209E-3</v>
      </c>
    </row>
    <row r="89" spans="2:7" x14ac:dyDescent="0.3">
      <c r="B89" s="188">
        <v>46068</v>
      </c>
      <c r="C89" s="37">
        <v>2314.5</v>
      </c>
      <c r="D89" s="22">
        <f t="shared" si="3"/>
        <v>4.0343571056742356E-3</v>
      </c>
      <c r="F89" s="37">
        <v>25571.25</v>
      </c>
      <c r="G89" s="22">
        <f t="shared" si="4"/>
        <v>3.9319071418195684E-3</v>
      </c>
    </row>
    <row r="90" spans="2:7" x14ac:dyDescent="0.3">
      <c r="B90" s="188">
        <v>46075</v>
      </c>
      <c r="C90" s="37">
        <v>2338.1</v>
      </c>
      <c r="D90" s="22">
        <f t="shared" si="3"/>
        <v>1.0196586735796043E-2</v>
      </c>
      <c r="F90" s="37">
        <v>25178.65</v>
      </c>
      <c r="G90" s="22">
        <f t="shared" si="4"/>
        <v>-1.5353179840641329E-2</v>
      </c>
    </row>
    <row r="91" spans="2:7" x14ac:dyDescent="0.3">
      <c r="B91" s="188">
        <v>46082</v>
      </c>
      <c r="C91" s="37">
        <v>2225.6999999999998</v>
      </c>
      <c r="D91" s="22">
        <f t="shared" si="3"/>
        <v>-4.8073221846798742E-2</v>
      </c>
      <c r="F91" s="37">
        <v>24450.45</v>
      </c>
      <c r="G91" s="22">
        <f t="shared" si="4"/>
        <v>-2.892132818876314E-2</v>
      </c>
    </row>
    <row r="92" spans="2:7" x14ac:dyDescent="0.3">
      <c r="B92" s="188">
        <v>46089</v>
      </c>
      <c r="C92" s="37">
        <v>2160</v>
      </c>
      <c r="D92" s="22">
        <f t="shared" si="3"/>
        <v>-2.9518803073190325E-2</v>
      </c>
      <c r="F92" s="37">
        <v>23151.1</v>
      </c>
      <c r="G92" s="22">
        <f t="shared" si="4"/>
        <v>-5.3142171207482991E-2</v>
      </c>
    </row>
    <row r="93" spans="2:7" x14ac:dyDescent="0.3">
      <c r="B93" s="188">
        <v>46096</v>
      </c>
      <c r="C93" s="37">
        <v>2082.6999999999998</v>
      </c>
      <c r="D93" s="22">
        <f t="shared" si="3"/>
        <v>-3.5787037037037117E-2</v>
      </c>
      <c r="F93" s="37">
        <v>23114.5</v>
      </c>
      <c r="G93" s="22">
        <f t="shared" si="4"/>
        <v>-1.5809184012853805E-3</v>
      </c>
    </row>
    <row r="94" spans="2:7" x14ac:dyDescent="0.3">
      <c r="B94" s="188">
        <v>46103</v>
      </c>
      <c r="C94" s="37">
        <v>2074.4</v>
      </c>
      <c r="D94" s="22">
        <f t="shared" si="3"/>
        <v>-3.9852115042972036E-3</v>
      </c>
      <c r="F94" s="37">
        <v>22819.599999999999</v>
      </c>
      <c r="G94" s="22">
        <f t="shared" si="4"/>
        <v>-1.275822535637805E-2</v>
      </c>
    </row>
    <row r="95" spans="2:7" x14ac:dyDescent="0.3">
      <c r="B95" s="188">
        <v>46110</v>
      </c>
      <c r="C95" s="37">
        <v>2065.3000000000002</v>
      </c>
      <c r="D95" s="22">
        <f t="shared" si="3"/>
        <v>-4.3868106440415611E-3</v>
      </c>
      <c r="F95" s="37">
        <v>22713.1</v>
      </c>
      <c r="G95" s="22">
        <f t="shared" si="4"/>
        <v>-4.6670406142088616E-3</v>
      </c>
    </row>
    <row r="96" spans="2:7" x14ac:dyDescent="0.3">
      <c r="B96" s="188">
        <v>46117</v>
      </c>
      <c r="C96" s="37">
        <v>2155.3000000000002</v>
      </c>
      <c r="D96" s="22">
        <f t="shared" si="3"/>
        <v>4.3577204280249804E-2</v>
      </c>
      <c r="F96" s="37">
        <v>24050.6</v>
      </c>
      <c r="G96" s="22">
        <f t="shared" si="4"/>
        <v>5.8886721759689342E-2</v>
      </c>
    </row>
    <row r="97" spans="2:7" x14ac:dyDescent="0.3">
      <c r="B97" s="188">
        <v>46124</v>
      </c>
      <c r="C97" s="37">
        <v>2240.8000000000002</v>
      </c>
      <c r="D97" s="22">
        <f t="shared" si="3"/>
        <v>3.9669651556627938E-2</v>
      </c>
      <c r="F97" s="37">
        <v>24353.55</v>
      </c>
      <c r="G97" s="22">
        <f t="shared" si="4"/>
        <v>1.2596359342386565E-2</v>
      </c>
    </row>
    <row r="98" spans="2:7" x14ac:dyDescent="0.3">
      <c r="B98" s="188">
        <v>46131</v>
      </c>
      <c r="C98" s="37">
        <v>2327.3000000000002</v>
      </c>
      <c r="D98" s="22">
        <f t="shared" si="3"/>
        <v>3.8602284898250572E-2</v>
      </c>
      <c r="F98" s="37">
        <v>23897.95</v>
      </c>
      <c r="G98" s="22">
        <f t="shared" si="4"/>
        <v>-1.8707744866764742E-2</v>
      </c>
    </row>
    <row r="99" spans="2:7" x14ac:dyDescent="0.3">
      <c r="B99" s="188">
        <v>46138</v>
      </c>
      <c r="C99" s="37">
        <v>2250.9</v>
      </c>
      <c r="D99" s="22">
        <f t="shared" si="3"/>
        <v>-3.2827740299918418E-2</v>
      </c>
      <c r="F99" s="37">
        <v>23997.55</v>
      </c>
      <c r="G99" s="22">
        <f t="shared" si="4"/>
        <v>4.167721499124255E-3</v>
      </c>
    </row>
    <row r="100" spans="2:7" x14ac:dyDescent="0.3">
      <c r="B100" s="188">
        <v>46145</v>
      </c>
      <c r="C100" s="37">
        <v>2287.6999999999998</v>
      </c>
      <c r="D100" s="22">
        <f t="shared" si="3"/>
        <v>1.6349015949175705E-2</v>
      </c>
      <c r="F100" s="37">
        <v>24176.15</v>
      </c>
      <c r="G100" s="22">
        <f t="shared" si="4"/>
        <v>7.4424264143633234E-3</v>
      </c>
    </row>
    <row r="101" spans="2:7" x14ac:dyDescent="0.3">
      <c r="B101" s="188">
        <v>46152</v>
      </c>
      <c r="C101" s="37">
        <v>2272.1999999999998</v>
      </c>
      <c r="D101" s="22">
        <f t="shared" si="3"/>
        <v>-6.7753639026095769E-3</v>
      </c>
      <c r="F101" s="37">
        <v>23643.5</v>
      </c>
      <c r="G101" s="22">
        <f t="shared" si="4"/>
        <v>-2.2032043977225579E-2</v>
      </c>
    </row>
    <row r="102" spans="2:7" x14ac:dyDescent="0.3">
      <c r="B102" s="188">
        <v>46159</v>
      </c>
      <c r="C102" s="37">
        <v>2203.6</v>
      </c>
      <c r="D102" s="22">
        <f t="shared" si="3"/>
        <v>-3.0191004313000591E-2</v>
      </c>
      <c r="F102" s="37">
        <v>23719.3</v>
      </c>
      <c r="G102" s="22">
        <f t="shared" si="4"/>
        <v>3.2059551250871454E-3</v>
      </c>
    </row>
    <row r="103" spans="2:7" x14ac:dyDescent="0.3">
      <c r="B103" s="188">
        <v>46166</v>
      </c>
      <c r="C103" s="37">
        <v>2153.5</v>
      </c>
      <c r="D103" s="22">
        <f t="shared" si="3"/>
        <v>-2.2735523688509618E-2</v>
      </c>
      <c r="F103" s="37">
        <v>23547.75</v>
      </c>
      <c r="G103" s="22">
        <f t="shared" si="4"/>
        <v>-7.2325068615008981E-3</v>
      </c>
    </row>
    <row r="104" spans="2:7" x14ac:dyDescent="0.3">
      <c r="B104" s="188">
        <v>46173</v>
      </c>
      <c r="C104" s="37">
        <v>2121.5</v>
      </c>
      <c r="D104" s="22">
        <f t="shared" si="3"/>
        <v>-1.4859530996052972E-2</v>
      </c>
      <c r="F104" s="37">
        <v>23366.7</v>
      </c>
      <c r="G104" s="22">
        <f t="shared" si="4"/>
        <v>-7.6886326719113329E-3</v>
      </c>
    </row>
    <row r="105" spans="2:7" x14ac:dyDescent="0.3">
      <c r="B105" s="188">
        <v>46180</v>
      </c>
      <c r="C105" s="37">
        <v>2168.8000000000002</v>
      </c>
      <c r="D105" s="22">
        <f t="shared" si="3"/>
        <v>2.2295545604525291E-2</v>
      </c>
      <c r="F105" s="37">
        <v>23622.9</v>
      </c>
      <c r="G105" s="22">
        <f t="shared" si="4"/>
        <v>1.0964321020940027E-2</v>
      </c>
    </row>
    <row r="106" spans="2:7" x14ac:dyDescent="0.3">
      <c r="B106" s="188">
        <v>46187</v>
      </c>
      <c r="C106" s="37">
        <v>2194.6</v>
      </c>
      <c r="D106" s="22">
        <f t="shared" si="3"/>
        <v>1.1895979343415686E-2</v>
      </c>
      <c r="F106" s="37">
        <v>24013.1</v>
      </c>
      <c r="G106" s="22">
        <f t="shared" si="4"/>
        <v>1.6517870371546062E-2</v>
      </c>
    </row>
    <row r="107" spans="2:7" x14ac:dyDescent="0.3">
      <c r="B107" s="188">
        <v>46194</v>
      </c>
      <c r="C107" s="37">
        <v>2174.1999999999998</v>
      </c>
      <c r="D107" s="22">
        <f t="shared" si="3"/>
        <v>-9.2955436070354391E-3</v>
      </c>
      <c r="F107" s="37">
        <v>24056</v>
      </c>
      <c r="G107" s="22">
        <f t="shared" si="4"/>
        <v>1.7865248551833801E-3</v>
      </c>
    </row>
    <row r="108" spans="2:7" x14ac:dyDescent="0.3">
      <c r="B108" s="188">
        <v>46201</v>
      </c>
      <c r="C108" s="37">
        <v>2201.1999999999998</v>
      </c>
      <c r="D108" s="22">
        <f t="shared" si="3"/>
        <v>1.2418360776377479E-2</v>
      </c>
      <c r="F108" s="37">
        <v>24270.85</v>
      </c>
      <c r="G108" s="22">
        <f t="shared" si="4"/>
        <v>8.9312437645492349E-3</v>
      </c>
    </row>
    <row r="109" spans="2:7" x14ac:dyDescent="0.3">
      <c r="B109" s="188">
        <v>46208</v>
      </c>
      <c r="C109" s="37">
        <v>2150.6</v>
      </c>
      <c r="D109" s="22">
        <f t="shared" si="3"/>
        <v>-2.2987461384699204E-2</v>
      </c>
      <c r="F109" s="37">
        <v>24206.9</v>
      </c>
      <c r="G109" s="22">
        <f t="shared" si="4"/>
        <v>-2.6348479760699428E-3</v>
      </c>
    </row>
    <row r="110" spans="2:7" x14ac:dyDescent="0.3">
      <c r="B110" s="188">
        <v>46215</v>
      </c>
      <c r="C110" s="37">
        <v>2143.8000000000002</v>
      </c>
      <c r="D110" s="22">
        <f t="shared" si="3"/>
        <v>-3.1619083046590113E-3</v>
      </c>
      <c r="F110" s="37">
        <v>24072.75</v>
      </c>
      <c r="G110" s="22">
        <f t="shared" si="4"/>
        <v>-5.5418083273778285E-3</v>
      </c>
    </row>
  </sheetData>
  <mergeCells count="3">
    <mergeCell ref="B4:D4"/>
    <mergeCell ref="F4:G4"/>
    <mergeCell ref="I4:J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F4227-31EC-4360-ADE8-CDFDB299FD4E}">
  <dimension ref="A2:R108"/>
  <sheetViews>
    <sheetView showGridLines="0" workbookViewId="0">
      <selection activeCell="Q5" sqref="Q5"/>
    </sheetView>
  </sheetViews>
  <sheetFormatPr defaultRowHeight="14.4" x14ac:dyDescent="0.3"/>
  <cols>
    <col min="1" max="1" width="1.44140625" bestFit="1" customWidth="1"/>
    <col min="2" max="2" width="9.77734375" customWidth="1"/>
    <col min="3" max="3" width="6.5546875" customWidth="1"/>
    <col min="5" max="5" width="11.5546875" bestFit="1" customWidth="1"/>
    <col min="6" max="6" width="14.44140625" bestFit="1" customWidth="1"/>
    <col min="8" max="8" width="11.5546875" bestFit="1" customWidth="1"/>
    <col min="9" max="9" width="14.44140625" bestFit="1" customWidth="1"/>
    <col min="11" max="11" width="11.5546875" bestFit="1" customWidth="1"/>
    <col min="12" max="12" width="14.44140625" bestFit="1" customWidth="1"/>
    <col min="14" max="14" width="11.5546875" bestFit="1" customWidth="1"/>
    <col min="15" max="15" width="14.44140625" bestFit="1" customWidth="1"/>
    <col min="17" max="17" width="11.5546875" bestFit="1" customWidth="1"/>
    <col min="18" max="18" width="14.44140625" bestFit="1" customWidth="1"/>
  </cols>
  <sheetData>
    <row r="2" spans="1:18" ht="15" customHeight="1" x14ac:dyDescent="0.3">
      <c r="A2" s="21" t="s">
        <v>16</v>
      </c>
    </row>
    <row r="3" spans="1:18" ht="15" customHeight="1" x14ac:dyDescent="0.3">
      <c r="E3" s="201" t="s">
        <v>378</v>
      </c>
      <c r="F3" s="201"/>
      <c r="H3" s="201" t="s">
        <v>379</v>
      </c>
      <c r="I3" s="201"/>
      <c r="K3" s="201" t="s">
        <v>380</v>
      </c>
      <c r="L3" s="201"/>
      <c r="N3" s="201" t="s">
        <v>381</v>
      </c>
      <c r="O3" s="201"/>
      <c r="Q3" s="201" t="s">
        <v>382</v>
      </c>
      <c r="R3" s="201"/>
    </row>
    <row r="4" spans="1:18" ht="15" customHeight="1" x14ac:dyDescent="0.3">
      <c r="B4" s="197" t="s">
        <v>375</v>
      </c>
      <c r="C4" s="200">
        <f>SLOPE(F6:F108,I6:I108)</f>
        <v>0.27409578333234613</v>
      </c>
      <c r="E4" s="202" t="s">
        <v>48</v>
      </c>
      <c r="F4" s="202" t="s">
        <v>49</v>
      </c>
      <c r="H4" s="202" t="s">
        <v>48</v>
      </c>
      <c r="I4" s="202" t="s">
        <v>49</v>
      </c>
      <c r="K4" s="202" t="s">
        <v>48</v>
      </c>
      <c r="L4" s="202" t="s">
        <v>49</v>
      </c>
      <c r="N4" s="202" t="s">
        <v>48</v>
      </c>
      <c r="O4" s="202" t="s">
        <v>49</v>
      </c>
      <c r="Q4" s="202" t="s">
        <v>48</v>
      </c>
      <c r="R4" s="202" t="s">
        <v>49</v>
      </c>
    </row>
    <row r="5" spans="1:18" ht="15" customHeight="1" x14ac:dyDescent="0.3">
      <c r="B5" s="197" t="str">
        <f>K3</f>
        <v>GODREJ</v>
      </c>
      <c r="C5" s="200">
        <f>SLOPE(F6:F108,L6:L108)</f>
        <v>0.25252854771061312</v>
      </c>
      <c r="E5" s="203">
        <v>24834.85</v>
      </c>
      <c r="F5" s="197" t="s">
        <v>50</v>
      </c>
      <c r="H5" s="197">
        <v>632.45000000000005</v>
      </c>
      <c r="I5" s="197"/>
      <c r="K5" s="197">
        <v>1467.5</v>
      </c>
      <c r="L5" s="197"/>
      <c r="N5" s="197">
        <v>679.75</v>
      </c>
      <c r="O5" s="197" t="s">
        <v>50</v>
      </c>
      <c r="Q5" s="197">
        <v>1238.45</v>
      </c>
      <c r="R5" s="197"/>
    </row>
    <row r="6" spans="1:18" ht="15" customHeight="1" x14ac:dyDescent="0.3">
      <c r="B6" s="197" t="str">
        <f>N3</f>
        <v>MARICO</v>
      </c>
      <c r="C6" s="200">
        <f>SLOPE(F6:F108,O6:O108)</f>
        <v>0.23570284908362621</v>
      </c>
      <c r="E6" s="203">
        <v>24717.7</v>
      </c>
      <c r="F6" s="204">
        <f>E6/E5-1</f>
        <v>-4.7171615693268887E-3</v>
      </c>
      <c r="H6" s="197">
        <v>627.54999999999995</v>
      </c>
      <c r="I6" s="204">
        <f>H6/H5-1</f>
        <v>-7.7476480354179422E-3</v>
      </c>
      <c r="K6" s="197">
        <v>1459.15</v>
      </c>
      <c r="L6" s="204">
        <f>K6/K5-1</f>
        <v>-5.6899488926746011E-3</v>
      </c>
      <c r="N6" s="197">
        <v>662.4</v>
      </c>
      <c r="O6" s="204">
        <f>N6/N5-1</f>
        <v>-2.5524089738874656E-2</v>
      </c>
      <c r="Q6" s="197">
        <v>1247.55</v>
      </c>
      <c r="R6" s="204">
        <f>Q6/Q5-1</f>
        <v>7.3478945456013633E-3</v>
      </c>
    </row>
    <row r="7" spans="1:18" ht="15" customHeight="1" x14ac:dyDescent="0.3">
      <c r="B7" s="197" t="str">
        <f>Q3</f>
        <v>NESTLE</v>
      </c>
      <c r="C7" s="200">
        <f>SLOPE(F6:F108,R6:R108)</f>
        <v>0.3207011212735591</v>
      </c>
      <c r="E7" s="203">
        <v>24367.5</v>
      </c>
      <c r="F7" s="204">
        <f t="shared" ref="F7:F70" si="0">E7/E6-1</f>
        <v>-1.4167984885325113E-2</v>
      </c>
      <c r="H7" s="197">
        <v>623.95000000000005</v>
      </c>
      <c r="I7" s="204">
        <f t="shared" ref="I7:I70" si="1">H7/H6-1</f>
        <v>-5.7365946936497325E-3</v>
      </c>
      <c r="K7" s="197">
        <v>1444.8</v>
      </c>
      <c r="L7" s="204">
        <f t="shared" ref="L7:L70" si="2">K7/K6-1</f>
        <v>-9.8344926840969737E-3</v>
      </c>
      <c r="N7" s="197">
        <v>653</v>
      </c>
      <c r="O7" s="204">
        <f t="shared" ref="O7:O70" si="3">N7/N6-1</f>
        <v>-1.4190821256038655E-2</v>
      </c>
      <c r="Q7" s="197">
        <v>1252.3499999999999</v>
      </c>
      <c r="R7" s="204">
        <f t="shared" ref="R7:R70" si="4">Q7/Q6-1</f>
        <v>3.8475411807141757E-3</v>
      </c>
    </row>
    <row r="8" spans="1:18" ht="15" customHeight="1" x14ac:dyDescent="0.3">
      <c r="E8" s="203">
        <v>24541.15</v>
      </c>
      <c r="F8" s="204">
        <f t="shared" si="0"/>
        <v>7.1262952703396998E-3</v>
      </c>
      <c r="H8" s="197">
        <v>617.6</v>
      </c>
      <c r="I8" s="204">
        <f t="shared" si="1"/>
        <v>-1.0177097523840106E-2</v>
      </c>
      <c r="K8" s="197">
        <v>1405.05</v>
      </c>
      <c r="L8" s="204">
        <f t="shared" si="2"/>
        <v>-2.7512458471760759E-2</v>
      </c>
      <c r="N8" s="197">
        <v>661.05</v>
      </c>
      <c r="O8" s="204">
        <f t="shared" si="3"/>
        <v>1.2327718223583473E-2</v>
      </c>
      <c r="Q8" s="197">
        <v>1262.72</v>
      </c>
      <c r="R8" s="204">
        <f t="shared" si="4"/>
        <v>8.2804327863617022E-3</v>
      </c>
    </row>
    <row r="9" spans="1:18" ht="15" customHeight="1" x14ac:dyDescent="0.3">
      <c r="E9" s="203">
        <v>24823.15</v>
      </c>
      <c r="F9" s="204">
        <f t="shared" si="0"/>
        <v>1.1490904052988471E-2</v>
      </c>
      <c r="H9" s="197">
        <v>643.25</v>
      </c>
      <c r="I9" s="204">
        <f t="shared" si="1"/>
        <v>4.1531735751295207E-2</v>
      </c>
      <c r="K9" s="197">
        <v>1428.35</v>
      </c>
      <c r="L9" s="204">
        <f t="shared" si="2"/>
        <v>1.6583039749475059E-2</v>
      </c>
      <c r="N9" s="197">
        <v>678.2</v>
      </c>
      <c r="O9" s="204">
        <f t="shared" si="3"/>
        <v>2.5943574616141163E-2</v>
      </c>
      <c r="Q9" s="197">
        <v>1264.5999999999999</v>
      </c>
      <c r="R9" s="204">
        <f t="shared" si="4"/>
        <v>1.4888494678153563E-3</v>
      </c>
    </row>
    <row r="10" spans="1:18" ht="15" customHeight="1" x14ac:dyDescent="0.3">
      <c r="E10" s="203">
        <v>25235.9</v>
      </c>
      <c r="F10" s="204">
        <f t="shared" si="0"/>
        <v>1.6627623810837822E-2</v>
      </c>
      <c r="H10" s="197">
        <v>637.15</v>
      </c>
      <c r="I10" s="204">
        <f t="shared" si="1"/>
        <v>-9.483093664982567E-3</v>
      </c>
      <c r="K10" s="197">
        <v>1481.2</v>
      </c>
      <c r="L10" s="204">
        <f t="shared" si="2"/>
        <v>3.7000735113942751E-2</v>
      </c>
      <c r="N10" s="197">
        <v>647.15</v>
      </c>
      <c r="O10" s="204">
        <f t="shared" si="3"/>
        <v>-4.5782954880566273E-2</v>
      </c>
      <c r="Q10" s="197">
        <v>1250.3800000000001</v>
      </c>
      <c r="R10" s="204">
        <f t="shared" si="4"/>
        <v>-1.124466234382393E-2</v>
      </c>
    </row>
    <row r="11" spans="1:18" x14ac:dyDescent="0.3">
      <c r="E11" s="203">
        <v>24852.15</v>
      </c>
      <c r="F11" s="204">
        <f t="shared" si="0"/>
        <v>-1.5206511358818231E-2</v>
      </c>
      <c r="H11" s="197">
        <v>644.4</v>
      </c>
      <c r="I11" s="204">
        <f t="shared" si="1"/>
        <v>1.137879620183635E-2</v>
      </c>
      <c r="K11" s="197">
        <v>1443.45</v>
      </c>
      <c r="L11" s="204">
        <f t="shared" si="2"/>
        <v>-2.5486092357547951E-2</v>
      </c>
      <c r="N11" s="197">
        <v>665.25</v>
      </c>
      <c r="O11" s="204">
        <f t="shared" si="3"/>
        <v>2.7968786216487684E-2</v>
      </c>
      <c r="Q11" s="197">
        <v>1251.5999999999999</v>
      </c>
      <c r="R11" s="204">
        <f t="shared" si="4"/>
        <v>9.7570338617036789E-4</v>
      </c>
    </row>
    <row r="12" spans="1:18" x14ac:dyDescent="0.3">
      <c r="E12" s="203">
        <v>25356.5</v>
      </c>
      <c r="F12" s="204">
        <f t="shared" si="0"/>
        <v>2.0294018827344829E-2</v>
      </c>
      <c r="H12" s="197">
        <v>660.9</v>
      </c>
      <c r="I12" s="204">
        <f t="shared" si="1"/>
        <v>2.5605214152700118E-2</v>
      </c>
      <c r="K12" s="197">
        <v>1491.3</v>
      </c>
      <c r="L12" s="204">
        <f t="shared" si="2"/>
        <v>3.3149745401641839E-2</v>
      </c>
      <c r="N12" s="197">
        <v>681.95</v>
      </c>
      <c r="O12" s="204">
        <f t="shared" si="3"/>
        <v>2.5103344607290579E-2</v>
      </c>
      <c r="Q12" s="197">
        <v>1265.7</v>
      </c>
      <c r="R12" s="204">
        <f t="shared" si="4"/>
        <v>1.1265580057526536E-2</v>
      </c>
    </row>
    <row r="13" spans="1:18" x14ac:dyDescent="0.3">
      <c r="E13" s="203">
        <v>25790.95</v>
      </c>
      <c r="F13" s="204">
        <f t="shared" si="0"/>
        <v>1.7133673811448702E-2</v>
      </c>
      <c r="H13" s="197">
        <v>667.55</v>
      </c>
      <c r="I13" s="204">
        <f t="shared" si="1"/>
        <v>1.0062036616734771E-2</v>
      </c>
      <c r="K13" s="197">
        <v>1456.6</v>
      </c>
      <c r="L13" s="204">
        <f t="shared" si="2"/>
        <v>-2.3268289411922494E-2</v>
      </c>
      <c r="N13" s="197">
        <v>709</v>
      </c>
      <c r="O13" s="204">
        <f t="shared" si="3"/>
        <v>3.9665664638169895E-2</v>
      </c>
      <c r="Q13" s="197">
        <v>1349.78</v>
      </c>
      <c r="R13" s="204">
        <f t="shared" si="4"/>
        <v>6.6429643675436356E-2</v>
      </c>
    </row>
    <row r="14" spans="1:18" x14ac:dyDescent="0.3">
      <c r="E14" s="203">
        <v>26178.95</v>
      </c>
      <c r="F14" s="204">
        <f t="shared" si="0"/>
        <v>1.5044036764834123E-2</v>
      </c>
      <c r="H14" s="197">
        <v>633</v>
      </c>
      <c r="I14" s="204">
        <f t="shared" si="1"/>
        <v>-5.1756422739869579E-2</v>
      </c>
      <c r="K14" s="197">
        <v>1388.65</v>
      </c>
      <c r="L14" s="204">
        <f t="shared" si="2"/>
        <v>-4.6649732253192244E-2</v>
      </c>
      <c r="N14" s="197">
        <v>692.45</v>
      </c>
      <c r="O14" s="204">
        <f t="shared" si="3"/>
        <v>-2.3342736248236906E-2</v>
      </c>
      <c r="Q14" s="197">
        <v>1372.85</v>
      </c>
      <c r="R14" s="204">
        <f t="shared" si="4"/>
        <v>1.7091674198758344E-2</v>
      </c>
    </row>
    <row r="15" spans="1:18" x14ac:dyDescent="0.3">
      <c r="E15" s="203">
        <v>25014.6</v>
      </c>
      <c r="F15" s="204">
        <f t="shared" si="0"/>
        <v>-4.4476573735768743E-2</v>
      </c>
      <c r="H15" s="197">
        <v>572.45000000000005</v>
      </c>
      <c r="I15" s="204">
        <f t="shared" si="1"/>
        <v>-9.5655608214849863E-2</v>
      </c>
      <c r="K15" s="197">
        <v>1343.25</v>
      </c>
      <c r="L15" s="204">
        <f t="shared" si="2"/>
        <v>-3.2693623303208241E-2</v>
      </c>
      <c r="N15" s="197">
        <v>690.2</v>
      </c>
      <c r="O15" s="204">
        <f t="shared" si="3"/>
        <v>-3.2493320817387206E-3</v>
      </c>
      <c r="Q15" s="197">
        <v>1299.07</v>
      </c>
      <c r="R15" s="204">
        <f t="shared" si="4"/>
        <v>-5.3742215099974455E-2</v>
      </c>
    </row>
    <row r="16" spans="1:18" x14ac:dyDescent="0.3">
      <c r="E16" s="203">
        <v>24964.25</v>
      </c>
      <c r="F16" s="204">
        <f t="shared" si="0"/>
        <v>-2.0128245104857889E-3</v>
      </c>
      <c r="H16" s="197">
        <v>570.85</v>
      </c>
      <c r="I16" s="204">
        <f t="shared" si="1"/>
        <v>-2.7950039304742713E-3</v>
      </c>
      <c r="K16" s="197">
        <v>1315.7</v>
      </c>
      <c r="L16" s="204">
        <f t="shared" si="2"/>
        <v>-2.0509957193374229E-2</v>
      </c>
      <c r="N16" s="197">
        <v>685.5</v>
      </c>
      <c r="O16" s="204">
        <f t="shared" si="3"/>
        <v>-6.8096203998841975E-3</v>
      </c>
      <c r="Q16" s="197">
        <v>1255.9000000000001</v>
      </c>
      <c r="R16" s="204">
        <f t="shared" si="4"/>
        <v>-3.3231465586919806E-2</v>
      </c>
    </row>
    <row r="17" spans="5:18" x14ac:dyDescent="0.3">
      <c r="E17" s="203">
        <v>24854.05</v>
      </c>
      <c r="F17" s="204">
        <f t="shared" si="0"/>
        <v>-4.4143124668275524E-3</v>
      </c>
      <c r="H17" s="197">
        <v>571.4</v>
      </c>
      <c r="I17" s="204">
        <f t="shared" si="1"/>
        <v>9.6347551896291961E-4</v>
      </c>
      <c r="K17" s="197">
        <v>1336.15</v>
      </c>
      <c r="L17" s="204">
        <f t="shared" si="2"/>
        <v>1.5543056927871168E-2</v>
      </c>
      <c r="N17" s="197">
        <v>669.3</v>
      </c>
      <c r="O17" s="204">
        <f t="shared" si="3"/>
        <v>-2.3632385120350152E-2</v>
      </c>
      <c r="Q17" s="197">
        <v>1175.1300000000001</v>
      </c>
      <c r="R17" s="204">
        <f t="shared" si="4"/>
        <v>-6.4312445258380424E-2</v>
      </c>
    </row>
    <row r="18" spans="5:18" x14ac:dyDescent="0.3">
      <c r="E18" s="203">
        <v>24180.799999999999</v>
      </c>
      <c r="F18" s="204">
        <f t="shared" si="0"/>
        <v>-2.7088140564616281E-2</v>
      </c>
      <c r="H18" s="197">
        <v>538.70000000000005</v>
      </c>
      <c r="I18" s="204">
        <f t="shared" si="1"/>
        <v>-5.7227861393069568E-2</v>
      </c>
      <c r="K18" s="197">
        <v>1291.25</v>
      </c>
      <c r="L18" s="204">
        <f t="shared" si="2"/>
        <v>-3.3604011525652178E-2</v>
      </c>
      <c r="N18" s="197">
        <v>640.1</v>
      </c>
      <c r="O18" s="204">
        <f t="shared" si="3"/>
        <v>-4.3627670700732035E-2</v>
      </c>
      <c r="Q18" s="197">
        <v>1130.3499999999999</v>
      </c>
      <c r="R18" s="204">
        <f t="shared" si="4"/>
        <v>-3.8106422268174733E-2</v>
      </c>
    </row>
    <row r="19" spans="5:18" x14ac:dyDescent="0.3">
      <c r="E19" s="203">
        <v>24304.35</v>
      </c>
      <c r="F19" s="204">
        <f t="shared" si="0"/>
        <v>5.1094256600276999E-3</v>
      </c>
      <c r="H19" s="197">
        <v>542.54999999999995</v>
      </c>
      <c r="I19" s="204">
        <f t="shared" si="1"/>
        <v>7.1468349730832159E-3</v>
      </c>
      <c r="K19" s="197">
        <v>1275.0999999999999</v>
      </c>
      <c r="L19" s="204">
        <f t="shared" si="2"/>
        <v>-1.2507260406582787E-2</v>
      </c>
      <c r="N19" s="197">
        <v>645.95000000000005</v>
      </c>
      <c r="O19" s="204">
        <f t="shared" si="3"/>
        <v>9.1391970004686129E-3</v>
      </c>
      <c r="Q19" s="197">
        <v>1141.1500000000001</v>
      </c>
      <c r="R19" s="204">
        <f t="shared" si="4"/>
        <v>9.5545627460522642E-3</v>
      </c>
    </row>
    <row r="20" spans="5:18" x14ac:dyDescent="0.3">
      <c r="E20" s="203">
        <v>24148.2</v>
      </c>
      <c r="F20" s="204">
        <f t="shared" si="0"/>
        <v>-6.4247758117372822E-3</v>
      </c>
      <c r="H20" s="197">
        <v>531.5</v>
      </c>
      <c r="I20" s="204">
        <f t="shared" si="1"/>
        <v>-2.0366786471292864E-2</v>
      </c>
      <c r="K20" s="197">
        <v>1251.05</v>
      </c>
      <c r="L20" s="204">
        <f t="shared" si="2"/>
        <v>-1.8861265783075787E-2</v>
      </c>
      <c r="N20" s="197">
        <v>629.85</v>
      </c>
      <c r="O20" s="204">
        <f t="shared" si="3"/>
        <v>-2.4924529762365588E-2</v>
      </c>
      <c r="Q20" s="197">
        <v>1147.82</v>
      </c>
      <c r="R20" s="204">
        <f t="shared" si="4"/>
        <v>5.8449809402794095E-3</v>
      </c>
    </row>
    <row r="21" spans="5:18" x14ac:dyDescent="0.3">
      <c r="E21" s="203">
        <v>23532.7</v>
      </c>
      <c r="F21" s="204">
        <f t="shared" si="0"/>
        <v>-2.5488442202731498E-2</v>
      </c>
      <c r="H21" s="197">
        <v>508.1</v>
      </c>
      <c r="I21" s="204">
        <f t="shared" si="1"/>
        <v>-4.4026340545625597E-2</v>
      </c>
      <c r="K21" s="197">
        <v>1175.0999999999999</v>
      </c>
      <c r="L21" s="204">
        <f t="shared" si="2"/>
        <v>-6.0709004436273584E-2</v>
      </c>
      <c r="N21" s="197">
        <v>592.25</v>
      </c>
      <c r="O21" s="204">
        <f t="shared" si="3"/>
        <v>-5.9696753195205288E-2</v>
      </c>
      <c r="Q21" s="197">
        <v>1091.4000000000001</v>
      </c>
      <c r="R21" s="204">
        <f t="shared" si="4"/>
        <v>-4.9154048544196693E-2</v>
      </c>
    </row>
    <row r="22" spans="5:18" x14ac:dyDescent="0.3">
      <c r="E22" s="203">
        <v>23907.25</v>
      </c>
      <c r="F22" s="204">
        <f t="shared" si="0"/>
        <v>1.5916150717937061E-2</v>
      </c>
      <c r="H22" s="197">
        <v>513</v>
      </c>
      <c r="I22" s="204">
        <f t="shared" si="1"/>
        <v>9.6437709112378034E-3</v>
      </c>
      <c r="K22" s="197">
        <v>1192.3</v>
      </c>
      <c r="L22" s="204">
        <f t="shared" si="2"/>
        <v>1.4637052165773268E-2</v>
      </c>
      <c r="N22" s="197">
        <v>599.15</v>
      </c>
      <c r="O22" s="204">
        <f t="shared" si="3"/>
        <v>1.1650485436893065E-2</v>
      </c>
      <c r="Q22" s="197">
        <v>1123.6500000000001</v>
      </c>
      <c r="R22" s="204">
        <f t="shared" si="4"/>
        <v>2.9549202858713652E-2</v>
      </c>
    </row>
    <row r="23" spans="5:18" x14ac:dyDescent="0.3">
      <c r="E23" s="203">
        <v>24131.1</v>
      </c>
      <c r="F23" s="204">
        <f t="shared" si="0"/>
        <v>9.3632684645870157E-3</v>
      </c>
      <c r="H23" s="197">
        <v>527.15</v>
      </c>
      <c r="I23" s="204">
        <f t="shared" si="1"/>
        <v>2.7582846003898487E-2</v>
      </c>
      <c r="K23" s="197">
        <v>1244.6500000000001</v>
      </c>
      <c r="L23" s="204">
        <f t="shared" si="2"/>
        <v>4.3906734882160681E-2</v>
      </c>
      <c r="N23" s="197">
        <v>644.95000000000005</v>
      </c>
      <c r="O23" s="204">
        <f t="shared" si="3"/>
        <v>7.6441625636318289E-2</v>
      </c>
      <c r="Q23" s="197">
        <v>1117.32</v>
      </c>
      <c r="R23" s="204">
        <f t="shared" si="4"/>
        <v>-5.6334267788014092E-3</v>
      </c>
    </row>
    <row r="24" spans="5:18" x14ac:dyDescent="0.3">
      <c r="E24" s="203">
        <v>24677.8</v>
      </c>
      <c r="F24" s="204">
        <f t="shared" si="0"/>
        <v>2.2655411481449228E-2</v>
      </c>
      <c r="H24" s="197">
        <v>523.79999999999995</v>
      </c>
      <c r="I24" s="204">
        <f t="shared" si="1"/>
        <v>-6.3549274400076516E-3</v>
      </c>
      <c r="K24" s="197">
        <v>1235.45</v>
      </c>
      <c r="L24" s="204">
        <f t="shared" si="2"/>
        <v>-7.3916362029486926E-3</v>
      </c>
      <c r="N24" s="197">
        <v>633.65</v>
      </c>
      <c r="O24" s="204">
        <f t="shared" si="3"/>
        <v>-1.7520738041708728E-2</v>
      </c>
      <c r="Q24" s="197">
        <v>1133.9000000000001</v>
      </c>
      <c r="R24" s="204">
        <f t="shared" si="4"/>
        <v>1.4839079225289264E-2</v>
      </c>
    </row>
    <row r="25" spans="5:18" x14ac:dyDescent="0.3">
      <c r="E25" s="203">
        <v>24768.3</v>
      </c>
      <c r="F25" s="204">
        <f t="shared" si="0"/>
        <v>3.6672636944945491E-3</v>
      </c>
      <c r="H25" s="197">
        <v>512.79999999999995</v>
      </c>
      <c r="I25" s="204">
        <f t="shared" si="1"/>
        <v>-2.1000381825124093E-2</v>
      </c>
      <c r="K25" s="197">
        <v>1111.45</v>
      </c>
      <c r="L25" s="204">
        <f t="shared" si="2"/>
        <v>-0.1003682868590392</v>
      </c>
      <c r="N25" s="197">
        <v>639.79999999999995</v>
      </c>
      <c r="O25" s="204">
        <f t="shared" si="3"/>
        <v>9.7056734790499366E-3</v>
      </c>
      <c r="Q25" s="197">
        <v>1126.75</v>
      </c>
      <c r="R25" s="204">
        <f t="shared" si="4"/>
        <v>-6.3056706940648466E-3</v>
      </c>
    </row>
    <row r="26" spans="5:18" x14ac:dyDescent="0.3">
      <c r="E26" s="203">
        <v>23587.5</v>
      </c>
      <c r="F26" s="204">
        <f t="shared" si="0"/>
        <v>-4.7673841159869612E-2</v>
      </c>
      <c r="H26" s="197">
        <v>502.55</v>
      </c>
      <c r="I26" s="204">
        <f t="shared" si="1"/>
        <v>-1.9988299531981224E-2</v>
      </c>
      <c r="K26" s="197">
        <v>1069.5999999999999</v>
      </c>
      <c r="L26" s="204">
        <f t="shared" si="2"/>
        <v>-3.7653515677718463E-2</v>
      </c>
      <c r="N26" s="197">
        <v>627.95000000000005</v>
      </c>
      <c r="O26" s="204">
        <f t="shared" si="3"/>
        <v>-1.852141294154408E-2</v>
      </c>
      <c r="Q26" s="197">
        <v>1081.75</v>
      </c>
      <c r="R26" s="204">
        <f t="shared" si="4"/>
        <v>-3.9937874417572683E-2</v>
      </c>
    </row>
    <row r="27" spans="5:18" x14ac:dyDescent="0.3">
      <c r="E27" s="203">
        <v>23813.4</v>
      </c>
      <c r="F27" s="204">
        <f t="shared" si="0"/>
        <v>9.5771065182830295E-3</v>
      </c>
      <c r="H27" s="197">
        <v>507.15</v>
      </c>
      <c r="I27" s="204">
        <f t="shared" si="1"/>
        <v>9.1533180778031742E-3</v>
      </c>
      <c r="K27" s="197">
        <v>1067.8</v>
      </c>
      <c r="L27" s="204">
        <f t="shared" si="2"/>
        <v>-1.6828721017202453E-3</v>
      </c>
      <c r="N27" s="197">
        <v>632.6</v>
      </c>
      <c r="O27" s="204">
        <f t="shared" si="3"/>
        <v>7.4050481726251061E-3</v>
      </c>
      <c r="Q27" s="197">
        <v>1082.8</v>
      </c>
      <c r="R27" s="204">
        <f t="shared" si="4"/>
        <v>9.7064941067714905E-4</v>
      </c>
    </row>
    <row r="28" spans="5:18" x14ac:dyDescent="0.3">
      <c r="E28" s="203">
        <v>24004.75</v>
      </c>
      <c r="F28" s="204">
        <f t="shared" si="0"/>
        <v>8.035391838208783E-3</v>
      </c>
      <c r="H28" s="197">
        <v>524.9</v>
      </c>
      <c r="I28" s="204">
        <f t="shared" si="1"/>
        <v>3.499950704919641E-2</v>
      </c>
      <c r="K28" s="197">
        <v>1116.6500000000001</v>
      </c>
      <c r="L28" s="204">
        <f t="shared" si="2"/>
        <v>4.5748267465817616E-2</v>
      </c>
      <c r="N28" s="197">
        <v>660.95</v>
      </c>
      <c r="O28" s="204">
        <f t="shared" si="3"/>
        <v>4.4815049004110152E-2</v>
      </c>
      <c r="Q28" s="197">
        <v>1116.3499999999999</v>
      </c>
      <c r="R28" s="204">
        <f t="shared" si="4"/>
        <v>3.0984484669375645E-2</v>
      </c>
    </row>
    <row r="29" spans="5:18" x14ac:dyDescent="0.3">
      <c r="E29" s="203">
        <v>23431.5</v>
      </c>
      <c r="F29" s="204">
        <f t="shared" si="0"/>
        <v>-2.3880690280048689E-2</v>
      </c>
      <c r="H29" s="197">
        <v>517.9</v>
      </c>
      <c r="I29" s="204">
        <f t="shared" si="1"/>
        <v>-1.3335873499714213E-2</v>
      </c>
      <c r="K29" s="197">
        <v>1174.3</v>
      </c>
      <c r="L29" s="204">
        <f t="shared" si="2"/>
        <v>5.1627636233376517E-2</v>
      </c>
      <c r="N29" s="197">
        <v>673.9</v>
      </c>
      <c r="O29" s="204">
        <f t="shared" si="3"/>
        <v>1.959301006127534E-2</v>
      </c>
      <c r="Q29" s="197">
        <v>1123.95</v>
      </c>
      <c r="R29" s="204">
        <f t="shared" si="4"/>
        <v>6.8079007479733278E-3</v>
      </c>
    </row>
    <row r="30" spans="5:18" x14ac:dyDescent="0.3">
      <c r="E30" s="203">
        <v>23203.200000000001</v>
      </c>
      <c r="F30" s="204">
        <f t="shared" si="0"/>
        <v>-9.7432942833365344E-3</v>
      </c>
      <c r="H30" s="197">
        <v>526.04999999999995</v>
      </c>
      <c r="I30" s="204">
        <f t="shared" si="1"/>
        <v>1.5736628692797794E-2</v>
      </c>
      <c r="K30" s="197">
        <v>1187.75</v>
      </c>
      <c r="L30" s="204">
        <f t="shared" si="2"/>
        <v>1.1453631950949505E-2</v>
      </c>
      <c r="N30" s="197">
        <v>664.4</v>
      </c>
      <c r="O30" s="204">
        <f t="shared" si="3"/>
        <v>-1.4097047039620114E-2</v>
      </c>
      <c r="Q30" s="197">
        <v>1108.5999999999999</v>
      </c>
      <c r="R30" s="204">
        <f t="shared" si="4"/>
        <v>-1.3657191156190351E-2</v>
      </c>
    </row>
    <row r="31" spans="5:18" x14ac:dyDescent="0.3">
      <c r="E31" s="203">
        <v>23092.2</v>
      </c>
      <c r="F31" s="204">
        <f t="shared" si="0"/>
        <v>-4.7838229209764549E-3</v>
      </c>
      <c r="H31" s="197">
        <v>521.65</v>
      </c>
      <c r="I31" s="204">
        <f t="shared" si="1"/>
        <v>-8.3642239330861123E-3</v>
      </c>
      <c r="K31" s="197">
        <v>1130.3499999999999</v>
      </c>
      <c r="L31" s="204">
        <f t="shared" si="2"/>
        <v>-4.8326668069880063E-2</v>
      </c>
      <c r="N31" s="197">
        <v>666.2</v>
      </c>
      <c r="O31" s="204">
        <f t="shared" si="3"/>
        <v>2.7092113184830069E-3</v>
      </c>
      <c r="Q31" s="197">
        <v>1103.95</v>
      </c>
      <c r="R31" s="204">
        <f t="shared" si="4"/>
        <v>-4.1944795237235377E-3</v>
      </c>
    </row>
    <row r="32" spans="5:18" x14ac:dyDescent="0.3">
      <c r="E32" s="203">
        <v>23508.400000000001</v>
      </c>
      <c r="F32" s="204">
        <f t="shared" si="0"/>
        <v>1.8023401841314346E-2</v>
      </c>
      <c r="H32" s="197">
        <v>529.85</v>
      </c>
      <c r="I32" s="204">
        <f t="shared" si="1"/>
        <v>1.571935205597641E-2</v>
      </c>
      <c r="K32" s="197">
        <v>1121.25</v>
      </c>
      <c r="L32" s="204">
        <f t="shared" si="2"/>
        <v>-8.0506037952845499E-3</v>
      </c>
      <c r="N32" s="197">
        <v>670.65</v>
      </c>
      <c r="O32" s="204">
        <f t="shared" si="3"/>
        <v>6.6796757730409606E-3</v>
      </c>
      <c r="Q32" s="197">
        <v>1156.5999999999999</v>
      </c>
      <c r="R32" s="204">
        <f t="shared" si="4"/>
        <v>4.7692377372163364E-2</v>
      </c>
    </row>
    <row r="33" spans="5:18" x14ac:dyDescent="0.3">
      <c r="E33" s="203">
        <v>23559.95</v>
      </c>
      <c r="F33" s="204">
        <f t="shared" si="0"/>
        <v>2.1928332000475947E-3</v>
      </c>
      <c r="H33" s="197">
        <v>527.1</v>
      </c>
      <c r="I33" s="204">
        <f t="shared" si="1"/>
        <v>-5.1901481551382966E-3</v>
      </c>
      <c r="K33" s="197">
        <v>1106.75</v>
      </c>
      <c r="L33" s="204">
        <f t="shared" si="2"/>
        <v>-1.2931995540691243E-2</v>
      </c>
      <c r="N33" s="197">
        <v>649.25</v>
      </c>
      <c r="O33" s="204">
        <f t="shared" si="3"/>
        <v>-3.1909341683441395E-2</v>
      </c>
      <c r="Q33" s="197">
        <v>1112.55</v>
      </c>
      <c r="R33" s="204">
        <f t="shared" si="4"/>
        <v>-3.8085768632197814E-2</v>
      </c>
    </row>
    <row r="34" spans="5:18" x14ac:dyDescent="0.3">
      <c r="E34" s="203">
        <v>22929.25</v>
      </c>
      <c r="F34" s="204">
        <f t="shared" si="0"/>
        <v>-2.6770005878620329E-2</v>
      </c>
      <c r="H34" s="197">
        <v>519.9</v>
      </c>
      <c r="I34" s="204">
        <f t="shared" si="1"/>
        <v>-1.3659647125782715E-2</v>
      </c>
      <c r="K34" s="197">
        <v>1058.9000000000001</v>
      </c>
      <c r="L34" s="204">
        <f t="shared" si="2"/>
        <v>-4.3234696182516297E-2</v>
      </c>
      <c r="N34" s="197">
        <v>633.75</v>
      </c>
      <c r="O34" s="204">
        <f t="shared" si="3"/>
        <v>-2.3873700423565625E-2</v>
      </c>
      <c r="Q34" s="197">
        <v>1097.93</v>
      </c>
      <c r="R34" s="204">
        <f t="shared" si="4"/>
        <v>-1.3140982427755965E-2</v>
      </c>
    </row>
    <row r="35" spans="5:18" x14ac:dyDescent="0.3">
      <c r="E35" s="203">
        <v>22795.9</v>
      </c>
      <c r="F35" s="204">
        <f t="shared" si="0"/>
        <v>-5.8157157342695331E-3</v>
      </c>
      <c r="H35" s="197">
        <v>508.65</v>
      </c>
      <c r="I35" s="204">
        <f t="shared" si="1"/>
        <v>-2.1638776687824546E-2</v>
      </c>
      <c r="K35" s="197">
        <v>1052.2</v>
      </c>
      <c r="L35" s="204">
        <f t="shared" si="2"/>
        <v>-6.3273208046086271E-3</v>
      </c>
      <c r="N35" s="197">
        <v>624.79999999999995</v>
      </c>
      <c r="O35" s="204">
        <f t="shared" si="3"/>
        <v>-1.4122287968441838E-2</v>
      </c>
      <c r="Q35" s="197">
        <v>1107.47</v>
      </c>
      <c r="R35" s="204">
        <f t="shared" si="4"/>
        <v>8.6890785387045977E-3</v>
      </c>
    </row>
    <row r="36" spans="5:18" x14ac:dyDescent="0.3">
      <c r="E36" s="203">
        <v>22124.7</v>
      </c>
      <c r="F36" s="204">
        <f t="shared" si="0"/>
        <v>-2.9443891226053842E-2</v>
      </c>
      <c r="H36" s="197">
        <v>493.3</v>
      </c>
      <c r="I36" s="204">
        <f t="shared" si="1"/>
        <v>-3.0177921950260478E-2</v>
      </c>
      <c r="K36" s="197">
        <v>1005.15</v>
      </c>
      <c r="L36" s="204">
        <f t="shared" si="2"/>
        <v>-4.4715833491731694E-2</v>
      </c>
      <c r="N36" s="197">
        <v>600.6</v>
      </c>
      <c r="O36" s="204">
        <f t="shared" si="3"/>
        <v>-3.8732394366197131E-2</v>
      </c>
      <c r="Q36" s="197">
        <v>1094.82</v>
      </c>
      <c r="R36" s="204">
        <f t="shared" si="4"/>
        <v>-1.1422431307394398E-2</v>
      </c>
    </row>
    <row r="37" spans="5:18" x14ac:dyDescent="0.3">
      <c r="E37" s="203">
        <v>22552.5</v>
      </c>
      <c r="F37" s="204">
        <f t="shared" si="0"/>
        <v>1.9335855401429125E-2</v>
      </c>
      <c r="H37" s="197">
        <v>495.8</v>
      </c>
      <c r="I37" s="204">
        <f t="shared" si="1"/>
        <v>5.0679099939185956E-3</v>
      </c>
      <c r="K37" s="197">
        <v>1045.3</v>
      </c>
      <c r="L37" s="204">
        <f t="shared" si="2"/>
        <v>3.9944286922349859E-2</v>
      </c>
      <c r="N37" s="197">
        <v>609.65</v>
      </c>
      <c r="O37" s="204">
        <f t="shared" si="3"/>
        <v>1.5068265068264974E-2</v>
      </c>
      <c r="Q37" s="197">
        <v>1119.22</v>
      </c>
      <c r="R37" s="204">
        <f t="shared" si="4"/>
        <v>2.2286768601231355E-2</v>
      </c>
    </row>
    <row r="38" spans="5:18" x14ac:dyDescent="0.3">
      <c r="E38" s="203">
        <v>22397.200000000001</v>
      </c>
      <c r="F38" s="204">
        <f t="shared" si="0"/>
        <v>-6.8861545283227521E-3</v>
      </c>
      <c r="H38" s="197">
        <v>500.95</v>
      </c>
      <c r="I38" s="204">
        <f t="shared" si="1"/>
        <v>1.0387252924566326E-2</v>
      </c>
      <c r="K38" s="197">
        <v>1025.8</v>
      </c>
      <c r="L38" s="204">
        <f t="shared" si="2"/>
        <v>-1.8654931598584112E-2</v>
      </c>
      <c r="N38" s="197">
        <v>606.29999999999995</v>
      </c>
      <c r="O38" s="204">
        <f t="shared" si="3"/>
        <v>-5.4949561223652799E-3</v>
      </c>
      <c r="Q38" s="197">
        <v>1095.97</v>
      </c>
      <c r="R38" s="204">
        <f t="shared" si="4"/>
        <v>-2.0773395757759827E-2</v>
      </c>
    </row>
    <row r="39" spans="5:18" x14ac:dyDescent="0.3">
      <c r="E39" s="203">
        <v>23350.400000000001</v>
      </c>
      <c r="F39" s="204">
        <f t="shared" si="0"/>
        <v>4.2558891289982803E-2</v>
      </c>
      <c r="H39" s="197">
        <v>506.8</v>
      </c>
      <c r="I39" s="204">
        <f t="shared" si="1"/>
        <v>1.167781215690189E-2</v>
      </c>
      <c r="K39" s="197">
        <v>1111.95</v>
      </c>
      <c r="L39" s="204">
        <f t="shared" si="2"/>
        <v>8.3983232598947355E-2</v>
      </c>
      <c r="N39" s="197">
        <v>630.79999999999995</v>
      </c>
      <c r="O39" s="204">
        <f t="shared" si="3"/>
        <v>4.0409038429820132E-2</v>
      </c>
      <c r="Q39" s="197">
        <v>1134.43</v>
      </c>
      <c r="R39" s="204">
        <f t="shared" si="4"/>
        <v>3.5092201428871261E-2</v>
      </c>
    </row>
    <row r="40" spans="5:18" x14ac:dyDescent="0.3">
      <c r="E40" s="203">
        <v>23519.35</v>
      </c>
      <c r="F40" s="204">
        <f t="shared" si="0"/>
        <v>7.2354220912702605E-3</v>
      </c>
      <c r="H40" s="197">
        <v>506.5</v>
      </c>
      <c r="I40" s="204">
        <f t="shared" si="1"/>
        <v>-5.9194948697716132E-4</v>
      </c>
      <c r="K40" s="197">
        <v>1159.25</v>
      </c>
      <c r="L40" s="204">
        <f t="shared" si="2"/>
        <v>4.2537883897657336E-2</v>
      </c>
      <c r="N40" s="197">
        <v>651.65</v>
      </c>
      <c r="O40" s="204">
        <f t="shared" si="3"/>
        <v>3.3053265694356515E-2</v>
      </c>
      <c r="Q40" s="197">
        <v>1125.3800000000001</v>
      </c>
      <c r="R40" s="204">
        <f t="shared" si="4"/>
        <v>-7.9775746410091219E-3</v>
      </c>
    </row>
    <row r="41" spans="5:18" x14ac:dyDescent="0.3">
      <c r="E41" s="203">
        <v>22904.45</v>
      </c>
      <c r="F41" s="204">
        <f t="shared" si="0"/>
        <v>-2.6144430011883713E-2</v>
      </c>
      <c r="H41" s="197">
        <v>461.75</v>
      </c>
      <c r="I41" s="204">
        <f t="shared" si="1"/>
        <v>-8.8351431391905266E-2</v>
      </c>
      <c r="K41" s="197">
        <v>1156.5999999999999</v>
      </c>
      <c r="L41" s="204">
        <f t="shared" si="2"/>
        <v>-2.2859607504852608E-3</v>
      </c>
      <c r="N41" s="197">
        <v>677.3</v>
      </c>
      <c r="O41" s="204">
        <f t="shared" si="3"/>
        <v>3.936162050180303E-2</v>
      </c>
      <c r="Q41" s="197">
        <v>1131.07</v>
      </c>
      <c r="R41" s="204">
        <f t="shared" si="4"/>
        <v>5.0560699497057549E-3</v>
      </c>
    </row>
    <row r="42" spans="5:18" x14ac:dyDescent="0.3">
      <c r="E42" s="203">
        <v>22828.55</v>
      </c>
      <c r="F42" s="204">
        <f t="shared" si="0"/>
        <v>-3.3137665388167648E-3</v>
      </c>
      <c r="H42" s="197">
        <v>461.3</v>
      </c>
      <c r="I42" s="204">
        <f t="shared" si="1"/>
        <v>-9.7455332972384845E-4</v>
      </c>
      <c r="K42" s="197">
        <v>1223.5999999999999</v>
      </c>
      <c r="L42" s="204">
        <f t="shared" si="2"/>
        <v>5.792841085941558E-2</v>
      </c>
      <c r="N42" s="197">
        <v>709.95</v>
      </c>
      <c r="O42" s="204">
        <f t="shared" si="3"/>
        <v>4.8206112505536858E-2</v>
      </c>
      <c r="Q42" s="197">
        <v>1180.7</v>
      </c>
      <c r="R42" s="204">
        <f t="shared" si="4"/>
        <v>4.3878805025330037E-2</v>
      </c>
    </row>
    <row r="43" spans="5:18" x14ac:dyDescent="0.3">
      <c r="E43" s="203">
        <v>23851.65</v>
      </c>
      <c r="F43" s="204">
        <f t="shared" si="0"/>
        <v>4.4816687875489425E-2</v>
      </c>
      <c r="H43" s="197">
        <v>479.3</v>
      </c>
      <c r="I43" s="204">
        <f t="shared" si="1"/>
        <v>3.9020160416215033E-2</v>
      </c>
      <c r="K43" s="197">
        <v>1239.3</v>
      </c>
      <c r="L43" s="204">
        <f t="shared" si="2"/>
        <v>1.2830990519777652E-2</v>
      </c>
      <c r="N43" s="197">
        <v>714.8</v>
      </c>
      <c r="O43" s="204">
        <f t="shared" si="3"/>
        <v>6.8314670047184833E-3</v>
      </c>
      <c r="Q43" s="197">
        <v>1208.3</v>
      </c>
      <c r="R43" s="204">
        <f t="shared" si="4"/>
        <v>2.3375963411535361E-2</v>
      </c>
    </row>
    <row r="44" spans="5:18" x14ac:dyDescent="0.3">
      <c r="E44" s="203">
        <v>24039.35</v>
      </c>
      <c r="F44" s="204">
        <f t="shared" si="0"/>
        <v>7.86947653516612E-3</v>
      </c>
      <c r="H44" s="197">
        <v>484.6</v>
      </c>
      <c r="I44" s="204">
        <f t="shared" si="1"/>
        <v>1.1057792614229012E-2</v>
      </c>
      <c r="K44" s="197">
        <v>1266.5</v>
      </c>
      <c r="L44" s="204">
        <f t="shared" si="2"/>
        <v>2.1947873799725626E-2</v>
      </c>
      <c r="N44" s="197">
        <v>710.4</v>
      </c>
      <c r="O44" s="204">
        <f t="shared" si="3"/>
        <v>-6.15556799104644E-3</v>
      </c>
      <c r="Q44" s="197">
        <v>1206.75</v>
      </c>
      <c r="R44" s="204">
        <f t="shared" si="4"/>
        <v>-1.2827940081104883E-3</v>
      </c>
    </row>
    <row r="45" spans="5:18" x14ac:dyDescent="0.3">
      <c r="E45" s="203">
        <v>24346.7</v>
      </c>
      <c r="F45" s="204">
        <f t="shared" si="0"/>
        <v>1.2785287455775673E-2</v>
      </c>
      <c r="H45" s="197">
        <v>480.5</v>
      </c>
      <c r="I45" s="204">
        <f t="shared" si="1"/>
        <v>-8.4605860503508268E-3</v>
      </c>
      <c r="K45" s="197">
        <v>1256.7</v>
      </c>
      <c r="L45" s="204">
        <f t="shared" si="2"/>
        <v>-7.7378602447689682E-3</v>
      </c>
      <c r="N45" s="197">
        <v>697.75</v>
      </c>
      <c r="O45" s="204">
        <f t="shared" si="3"/>
        <v>-1.7806869369369371E-2</v>
      </c>
      <c r="Q45" s="197">
        <v>1168.8499999999999</v>
      </c>
      <c r="R45" s="204">
        <f t="shared" si="4"/>
        <v>-3.1406670810027015E-2</v>
      </c>
    </row>
    <row r="46" spans="5:18" x14ac:dyDescent="0.3">
      <c r="E46" s="203">
        <v>24008</v>
      </c>
      <c r="F46" s="204">
        <f t="shared" si="0"/>
        <v>-1.391153626569519E-2</v>
      </c>
      <c r="H46" s="197">
        <v>462.75</v>
      </c>
      <c r="I46" s="204">
        <f t="shared" si="1"/>
        <v>-3.6940686784599386E-2</v>
      </c>
      <c r="K46" s="197">
        <v>1242.0999999999999</v>
      </c>
      <c r="L46" s="204">
        <f t="shared" si="2"/>
        <v>-1.1617728972706409E-2</v>
      </c>
      <c r="N46" s="197">
        <v>723.3</v>
      </c>
      <c r="O46" s="204">
        <f t="shared" si="3"/>
        <v>3.6617699749193822E-2</v>
      </c>
      <c r="Q46" s="197">
        <v>1162.7</v>
      </c>
      <c r="R46" s="204">
        <f t="shared" si="4"/>
        <v>-5.2615818967359784E-3</v>
      </c>
    </row>
    <row r="47" spans="5:18" x14ac:dyDescent="0.3">
      <c r="E47" s="203">
        <v>25019.8</v>
      </c>
      <c r="F47" s="204">
        <f t="shared" si="0"/>
        <v>4.2144285238253865E-2</v>
      </c>
      <c r="H47" s="197">
        <v>476.65</v>
      </c>
      <c r="I47" s="204">
        <f t="shared" si="1"/>
        <v>3.0037817396002087E-2</v>
      </c>
      <c r="K47" s="197">
        <v>1299.5</v>
      </c>
      <c r="L47" s="204">
        <f t="shared" si="2"/>
        <v>4.6212060220594209E-2</v>
      </c>
      <c r="N47" s="197">
        <v>724.4</v>
      </c>
      <c r="O47" s="204">
        <f t="shared" si="3"/>
        <v>1.5208074104797742E-3</v>
      </c>
      <c r="Q47" s="197">
        <v>1204.4000000000001</v>
      </c>
      <c r="R47" s="204">
        <f t="shared" si="4"/>
        <v>3.5864797454201458E-2</v>
      </c>
    </row>
    <row r="48" spans="5:18" x14ac:dyDescent="0.3">
      <c r="E48" s="203">
        <v>24853.15</v>
      </c>
      <c r="F48" s="204">
        <f t="shared" si="0"/>
        <v>-6.660724706032739E-3</v>
      </c>
      <c r="H48" s="197">
        <v>481.95</v>
      </c>
      <c r="I48" s="204">
        <f t="shared" si="1"/>
        <v>1.1119269904542151E-2</v>
      </c>
      <c r="K48" s="197">
        <v>1277.4000000000001</v>
      </c>
      <c r="L48" s="204">
        <f t="shared" si="2"/>
        <v>-1.7006540977298923E-2</v>
      </c>
      <c r="N48" s="197">
        <v>700.85</v>
      </c>
      <c r="O48" s="204">
        <f t="shared" si="3"/>
        <v>-3.2509663169519532E-2</v>
      </c>
      <c r="Q48" s="197">
        <v>1207.2</v>
      </c>
      <c r="R48" s="204">
        <f t="shared" si="4"/>
        <v>2.3248090335437066E-3</v>
      </c>
    </row>
    <row r="49" spans="5:18" x14ac:dyDescent="0.3">
      <c r="E49" s="203">
        <v>24750.7</v>
      </c>
      <c r="F49" s="204">
        <f t="shared" si="0"/>
        <v>-4.1222138843567402E-3</v>
      </c>
      <c r="H49" s="197">
        <v>482.95</v>
      </c>
      <c r="I49" s="204">
        <f t="shared" si="1"/>
        <v>2.0749040356884407E-3</v>
      </c>
      <c r="K49" s="197">
        <v>1231.4000000000001</v>
      </c>
      <c r="L49" s="204">
        <f t="shared" si="2"/>
        <v>-3.6010646625958986E-2</v>
      </c>
      <c r="N49" s="197">
        <v>716.45</v>
      </c>
      <c r="O49" s="204">
        <f t="shared" si="3"/>
        <v>2.2258685881429763E-2</v>
      </c>
      <c r="Q49" s="197">
        <v>1198.0999999999999</v>
      </c>
      <c r="R49" s="204">
        <f t="shared" si="4"/>
        <v>-7.5381047051028549E-3</v>
      </c>
    </row>
    <row r="50" spans="5:18" x14ac:dyDescent="0.3">
      <c r="E50" s="203">
        <v>25003.05</v>
      </c>
      <c r="F50" s="204">
        <f t="shared" si="0"/>
        <v>1.0195671233540704E-2</v>
      </c>
      <c r="H50" s="197">
        <v>481.25</v>
      </c>
      <c r="I50" s="204">
        <f t="shared" si="1"/>
        <v>-3.5200331297235987E-3</v>
      </c>
      <c r="K50" s="197">
        <v>1210.0999999999999</v>
      </c>
      <c r="L50" s="204">
        <f t="shared" si="2"/>
        <v>-1.7297385090141448E-2</v>
      </c>
      <c r="N50" s="197">
        <v>698.65</v>
      </c>
      <c r="O50" s="204">
        <f t="shared" si="3"/>
        <v>-2.4844720496894457E-2</v>
      </c>
      <c r="Q50" s="197">
        <v>1208.5999999999999</v>
      </c>
      <c r="R50" s="204">
        <f t="shared" si="4"/>
        <v>8.7638761372172969E-3</v>
      </c>
    </row>
    <row r="51" spans="5:18" x14ac:dyDescent="0.3">
      <c r="E51" s="203">
        <v>24718.6</v>
      </c>
      <c r="F51" s="204">
        <f t="shared" si="0"/>
        <v>-1.1376612053329516E-2</v>
      </c>
      <c r="H51" s="197">
        <v>466.5</v>
      </c>
      <c r="I51" s="204">
        <f t="shared" si="1"/>
        <v>-3.0649350649350704E-2</v>
      </c>
      <c r="K51" s="197">
        <v>1188.8</v>
      </c>
      <c r="L51" s="204">
        <f t="shared" si="2"/>
        <v>-1.7601851086686993E-2</v>
      </c>
      <c r="N51" s="197">
        <v>691.2</v>
      </c>
      <c r="O51" s="204">
        <f t="shared" si="3"/>
        <v>-1.0663422314463489E-2</v>
      </c>
      <c r="Q51" s="197">
        <v>1188.4000000000001</v>
      </c>
      <c r="R51" s="204">
        <f t="shared" si="4"/>
        <v>-1.6713552871090331E-2</v>
      </c>
    </row>
    <row r="52" spans="5:18" x14ac:dyDescent="0.3">
      <c r="E52" s="203">
        <v>25112.400000000001</v>
      </c>
      <c r="F52" s="204">
        <f t="shared" si="0"/>
        <v>1.5931322971365791E-2</v>
      </c>
      <c r="H52" s="197">
        <v>466.9</v>
      </c>
      <c r="I52" s="204">
        <f t="shared" si="1"/>
        <v>8.5744908896034921E-4</v>
      </c>
      <c r="K52" s="197">
        <v>1189.4000000000001</v>
      </c>
      <c r="L52" s="204">
        <f t="shared" si="2"/>
        <v>5.0471063257084836E-4</v>
      </c>
      <c r="N52" s="197">
        <v>693.3</v>
      </c>
      <c r="O52" s="204">
        <f t="shared" si="3"/>
        <v>3.0381944444444198E-3</v>
      </c>
      <c r="Q52" s="197">
        <v>1180.2</v>
      </c>
      <c r="R52" s="204">
        <f t="shared" si="4"/>
        <v>-6.9000336587008437E-3</v>
      </c>
    </row>
    <row r="53" spans="5:18" x14ac:dyDescent="0.3">
      <c r="E53" s="203">
        <v>25637.8</v>
      </c>
      <c r="F53" s="204">
        <f t="shared" si="0"/>
        <v>2.092193498032846E-2</v>
      </c>
      <c r="H53" s="197">
        <v>486.35</v>
      </c>
      <c r="I53" s="204">
        <f t="shared" si="1"/>
        <v>4.1657742557292821E-2</v>
      </c>
      <c r="K53" s="197">
        <v>1176.4000000000001</v>
      </c>
      <c r="L53" s="204">
        <f t="shared" si="2"/>
        <v>-1.0929880612073339E-2</v>
      </c>
      <c r="N53" s="197">
        <v>731.65</v>
      </c>
      <c r="O53" s="204">
        <f t="shared" si="3"/>
        <v>5.5315159382662626E-2</v>
      </c>
      <c r="Q53" s="197">
        <v>1229.3499999999999</v>
      </c>
      <c r="R53" s="204">
        <f t="shared" si="4"/>
        <v>4.1645483816302287E-2</v>
      </c>
    </row>
    <row r="54" spans="5:18" x14ac:dyDescent="0.3">
      <c r="E54" s="203">
        <v>25461</v>
      </c>
      <c r="F54" s="204">
        <f t="shared" si="0"/>
        <v>-6.8960675252947023E-3</v>
      </c>
      <c r="H54" s="197">
        <v>495.1</v>
      </c>
      <c r="I54" s="204">
        <f t="shared" si="1"/>
        <v>1.7991158630615844E-2</v>
      </c>
      <c r="K54" s="197">
        <v>1192.9000000000001</v>
      </c>
      <c r="L54" s="204">
        <f t="shared" si="2"/>
        <v>1.4025841550493023E-2</v>
      </c>
      <c r="N54" s="197">
        <v>728.6</v>
      </c>
      <c r="O54" s="204">
        <f t="shared" si="3"/>
        <v>-4.1686598783571283E-3</v>
      </c>
      <c r="Q54" s="197">
        <v>1196.4000000000001</v>
      </c>
      <c r="R54" s="204">
        <f t="shared" si="4"/>
        <v>-2.6802781957945054E-2</v>
      </c>
    </row>
    <row r="55" spans="5:18" x14ac:dyDescent="0.3">
      <c r="E55" s="203">
        <v>25149.85</v>
      </c>
      <c r="F55" s="204">
        <f t="shared" si="0"/>
        <v>-1.2220651192019205E-2</v>
      </c>
      <c r="H55" s="197">
        <v>530.85</v>
      </c>
      <c r="I55" s="204">
        <f t="shared" si="1"/>
        <v>7.2207634821248146E-2</v>
      </c>
      <c r="K55" s="197">
        <v>1285</v>
      </c>
      <c r="L55" s="204">
        <f t="shared" si="2"/>
        <v>7.7206806941067851E-2</v>
      </c>
      <c r="N55" s="197">
        <v>725.65</v>
      </c>
      <c r="O55" s="204">
        <f t="shared" si="3"/>
        <v>-4.0488608289871442E-3</v>
      </c>
      <c r="Q55" s="197">
        <v>1201.75</v>
      </c>
      <c r="R55" s="204">
        <f t="shared" si="4"/>
        <v>4.4717485790704004E-3</v>
      </c>
    </row>
    <row r="56" spans="5:18" x14ac:dyDescent="0.3">
      <c r="E56" s="203">
        <v>24968.400000000001</v>
      </c>
      <c r="F56" s="204">
        <f t="shared" si="0"/>
        <v>-7.214754759968578E-3</v>
      </c>
      <c r="H56" s="197">
        <v>522.6</v>
      </c>
      <c r="I56" s="204">
        <f t="shared" si="1"/>
        <v>-1.5541113308844334E-2</v>
      </c>
      <c r="K56" s="197">
        <v>1251.3</v>
      </c>
      <c r="L56" s="204">
        <f t="shared" si="2"/>
        <v>-2.6225680933852136E-2</v>
      </c>
      <c r="N56" s="197">
        <v>720.2</v>
      </c>
      <c r="O56" s="204">
        <f t="shared" si="3"/>
        <v>-7.5105078205746079E-3</v>
      </c>
      <c r="Q56" s="197">
        <v>1236.0999999999999</v>
      </c>
      <c r="R56" s="204">
        <f t="shared" si="4"/>
        <v>2.8583315997503522E-2</v>
      </c>
    </row>
    <row r="57" spans="5:18" x14ac:dyDescent="0.3">
      <c r="E57" s="203">
        <v>24837</v>
      </c>
      <c r="F57" s="204">
        <f t="shared" si="0"/>
        <v>-5.2626519921180615E-3</v>
      </c>
      <c r="H57" s="197">
        <v>511.35</v>
      </c>
      <c r="I57" s="204">
        <f t="shared" si="1"/>
        <v>-2.1526980482204361E-2</v>
      </c>
      <c r="K57" s="197">
        <v>1217.0999999999999</v>
      </c>
      <c r="L57" s="204">
        <f t="shared" si="2"/>
        <v>-2.7331575161831712E-2</v>
      </c>
      <c r="N57" s="197">
        <v>693.95</v>
      </c>
      <c r="O57" s="204">
        <f t="shared" si="3"/>
        <v>-3.6448208830880291E-2</v>
      </c>
      <c r="Q57" s="197">
        <v>1137.3</v>
      </c>
      <c r="R57" s="204">
        <f t="shared" si="4"/>
        <v>-7.9928808348839087E-2</v>
      </c>
    </row>
    <row r="58" spans="5:18" x14ac:dyDescent="0.3">
      <c r="E58" s="203">
        <v>24565.35</v>
      </c>
      <c r="F58" s="204">
        <f t="shared" si="0"/>
        <v>-1.0937311269477057E-2</v>
      </c>
      <c r="H58" s="197">
        <v>534.35</v>
      </c>
      <c r="I58" s="204">
        <f t="shared" si="1"/>
        <v>4.4978977217170257E-2</v>
      </c>
      <c r="K58" s="197">
        <v>1266.5</v>
      </c>
      <c r="L58" s="204">
        <f t="shared" si="2"/>
        <v>4.0588283625010435E-2</v>
      </c>
      <c r="N58" s="197">
        <v>711.2</v>
      </c>
      <c r="O58" s="204">
        <f t="shared" si="3"/>
        <v>2.485769868146126E-2</v>
      </c>
      <c r="Q58" s="197">
        <v>1138.25</v>
      </c>
      <c r="R58" s="204">
        <f t="shared" si="4"/>
        <v>8.3531170315653824E-4</v>
      </c>
    </row>
    <row r="59" spans="5:18" x14ac:dyDescent="0.3">
      <c r="E59" s="203">
        <v>24363.3</v>
      </c>
      <c r="F59" s="204">
        <f t="shared" si="0"/>
        <v>-8.2249998473459263E-3</v>
      </c>
      <c r="H59" s="197">
        <v>507.25</v>
      </c>
      <c r="I59" s="204">
        <f t="shared" si="1"/>
        <v>-5.0715822962477786E-2</v>
      </c>
      <c r="K59" s="197">
        <v>1186.0999999999999</v>
      </c>
      <c r="L59" s="204">
        <f t="shared" si="2"/>
        <v>-6.3482037110146106E-2</v>
      </c>
      <c r="N59" s="197">
        <v>703.95</v>
      </c>
      <c r="O59" s="204">
        <f t="shared" si="3"/>
        <v>-1.0194038245219361E-2</v>
      </c>
      <c r="Q59" s="197">
        <v>1096.5</v>
      </c>
      <c r="R59" s="204">
        <f t="shared" si="4"/>
        <v>-3.6679112672962866E-2</v>
      </c>
    </row>
    <row r="60" spans="5:18" x14ac:dyDescent="0.3">
      <c r="E60" s="203">
        <v>24631.3</v>
      </c>
      <c r="F60" s="204">
        <f t="shared" si="0"/>
        <v>1.100015186776826E-2</v>
      </c>
      <c r="H60" s="197">
        <v>500.9</v>
      </c>
      <c r="I60" s="204">
        <f t="shared" si="1"/>
        <v>-1.2518482010842824E-2</v>
      </c>
      <c r="K60" s="197">
        <v>1184.9000000000001</v>
      </c>
      <c r="L60" s="204">
        <f t="shared" si="2"/>
        <v>-1.0117190793355046E-3</v>
      </c>
      <c r="N60" s="197">
        <v>710.55</v>
      </c>
      <c r="O60" s="204">
        <f t="shared" si="3"/>
        <v>9.3756658853609842E-3</v>
      </c>
      <c r="Q60" s="197">
        <v>1089.4000000000001</v>
      </c>
      <c r="R60" s="204">
        <f t="shared" si="4"/>
        <v>-6.47514819881434E-3</v>
      </c>
    </row>
    <row r="61" spans="5:18" x14ac:dyDescent="0.3">
      <c r="E61" s="203">
        <v>24870.1</v>
      </c>
      <c r="F61" s="204">
        <f t="shared" si="0"/>
        <v>9.6949815884666002E-3</v>
      </c>
      <c r="H61" s="197">
        <v>515.95000000000005</v>
      </c>
      <c r="I61" s="204">
        <f t="shared" si="1"/>
        <v>3.0045917348772377E-2</v>
      </c>
      <c r="K61" s="197">
        <v>1257.2</v>
      </c>
      <c r="L61" s="204">
        <f t="shared" si="2"/>
        <v>6.101780740990792E-2</v>
      </c>
      <c r="N61" s="197">
        <v>730.7</v>
      </c>
      <c r="O61" s="204">
        <f t="shared" si="3"/>
        <v>2.8358313982126626E-2</v>
      </c>
      <c r="Q61" s="197">
        <v>1162.9000000000001</v>
      </c>
      <c r="R61" s="204">
        <f t="shared" si="4"/>
        <v>6.7468331191481434E-2</v>
      </c>
    </row>
    <row r="62" spans="5:18" x14ac:dyDescent="0.3">
      <c r="E62" s="203">
        <v>24426.85</v>
      </c>
      <c r="F62" s="204">
        <f t="shared" si="0"/>
        <v>-1.7822606262138052E-2</v>
      </c>
      <c r="H62" s="197">
        <v>521.1</v>
      </c>
      <c r="I62" s="204">
        <f t="shared" si="1"/>
        <v>9.9815873631166063E-3</v>
      </c>
      <c r="K62" s="197">
        <v>1242.5999999999999</v>
      </c>
      <c r="L62" s="204">
        <f t="shared" si="2"/>
        <v>-1.1613108495068469E-2</v>
      </c>
      <c r="N62" s="197">
        <v>725.85</v>
      </c>
      <c r="O62" s="204">
        <f t="shared" si="3"/>
        <v>-6.6374709182975833E-3</v>
      </c>
      <c r="Q62" s="197">
        <v>1156.2</v>
      </c>
      <c r="R62" s="204">
        <f t="shared" si="4"/>
        <v>-5.7614584229083166E-3</v>
      </c>
    </row>
    <row r="63" spans="5:18" x14ac:dyDescent="0.3">
      <c r="E63" s="203">
        <v>24741</v>
      </c>
      <c r="F63" s="204">
        <f t="shared" si="0"/>
        <v>1.2860847796584585E-2</v>
      </c>
      <c r="H63" s="197">
        <v>546.70000000000005</v>
      </c>
      <c r="I63" s="204">
        <f t="shared" si="1"/>
        <v>4.9126847054308254E-2</v>
      </c>
      <c r="K63" s="197">
        <v>1231.5</v>
      </c>
      <c r="L63" s="204">
        <f t="shared" si="2"/>
        <v>-8.9328826653789495E-3</v>
      </c>
      <c r="N63" s="197">
        <v>731.7</v>
      </c>
      <c r="O63" s="204">
        <f t="shared" si="3"/>
        <v>8.0595164290142574E-3</v>
      </c>
      <c r="Q63" s="197">
        <v>1208.5</v>
      </c>
      <c r="R63" s="204">
        <f t="shared" si="4"/>
        <v>4.5234388514097779E-2</v>
      </c>
    </row>
    <row r="64" spans="5:18" x14ac:dyDescent="0.3">
      <c r="E64" s="203">
        <v>25114</v>
      </c>
      <c r="F64" s="204">
        <f t="shared" si="0"/>
        <v>1.5076189321369338E-2</v>
      </c>
      <c r="H64" s="197">
        <v>538.85</v>
      </c>
      <c r="I64" s="204">
        <f t="shared" si="1"/>
        <v>-1.4358880556063713E-2</v>
      </c>
      <c r="K64" s="197">
        <v>1249.7</v>
      </c>
      <c r="L64" s="204">
        <f t="shared" si="2"/>
        <v>1.4778725131952886E-2</v>
      </c>
      <c r="N64" s="197">
        <v>734.55</v>
      </c>
      <c r="O64" s="204">
        <f t="shared" si="3"/>
        <v>3.8950389503893401E-3</v>
      </c>
      <c r="Q64" s="197">
        <v>1217.5999999999999</v>
      </c>
      <c r="R64" s="204">
        <f t="shared" si="4"/>
        <v>7.5299958626395824E-3</v>
      </c>
    </row>
    <row r="65" spans="5:18" x14ac:dyDescent="0.3">
      <c r="E65" s="203">
        <v>25327.05</v>
      </c>
      <c r="F65" s="204">
        <f t="shared" si="0"/>
        <v>8.4833160786812467E-3</v>
      </c>
      <c r="H65" s="197">
        <v>535.45000000000005</v>
      </c>
      <c r="I65" s="204">
        <f t="shared" si="1"/>
        <v>-6.3097336921220659E-3</v>
      </c>
      <c r="K65" s="197">
        <v>1238.9000000000001</v>
      </c>
      <c r="L65" s="204">
        <f t="shared" si="2"/>
        <v>-8.6420740977833921E-3</v>
      </c>
      <c r="N65" s="197">
        <v>720.15</v>
      </c>
      <c r="O65" s="204">
        <f t="shared" si="3"/>
        <v>-1.9603839085154173E-2</v>
      </c>
      <c r="Q65" s="197">
        <v>1194.5</v>
      </c>
      <c r="R65" s="204">
        <f t="shared" si="4"/>
        <v>-1.8971747700394115E-2</v>
      </c>
    </row>
    <row r="66" spans="5:18" x14ac:dyDescent="0.3">
      <c r="E66" s="203">
        <v>24654.7</v>
      </c>
      <c r="F66" s="204">
        <f t="shared" si="0"/>
        <v>-2.6546715863079107E-2</v>
      </c>
      <c r="H66" s="197">
        <v>499.75</v>
      </c>
      <c r="I66" s="204">
        <f t="shared" si="1"/>
        <v>-6.6672891960033676E-2</v>
      </c>
      <c r="K66" s="197">
        <v>1163.9000000000001</v>
      </c>
      <c r="L66" s="204">
        <f t="shared" si="2"/>
        <v>-6.0537573654047994E-2</v>
      </c>
      <c r="N66" s="197">
        <v>698.35</v>
      </c>
      <c r="O66" s="204">
        <f t="shared" si="3"/>
        <v>-3.0271471221273272E-2</v>
      </c>
      <c r="Q66" s="197">
        <v>1162.5999999999999</v>
      </c>
      <c r="R66" s="204">
        <f t="shared" si="4"/>
        <v>-2.6705734616994659E-2</v>
      </c>
    </row>
    <row r="67" spans="5:18" x14ac:dyDescent="0.3">
      <c r="E67" s="203">
        <v>24894.25</v>
      </c>
      <c r="F67" s="204">
        <f t="shared" si="0"/>
        <v>9.7162001565624934E-3</v>
      </c>
      <c r="H67" s="197">
        <v>496.15</v>
      </c>
      <c r="I67" s="204">
        <f t="shared" si="1"/>
        <v>-7.2036018009005165E-3</v>
      </c>
      <c r="K67" s="197">
        <v>1149</v>
      </c>
      <c r="L67" s="204">
        <f t="shared" si="2"/>
        <v>-1.2801787095111372E-2</v>
      </c>
      <c r="N67" s="197">
        <v>710.95</v>
      </c>
      <c r="O67" s="204">
        <f t="shared" si="3"/>
        <v>1.8042528817928005E-2</v>
      </c>
      <c r="Q67" s="197">
        <v>1169.9000000000001</v>
      </c>
      <c r="R67" s="204">
        <f t="shared" si="4"/>
        <v>6.2790297608810164E-3</v>
      </c>
    </row>
    <row r="68" spans="5:18" x14ac:dyDescent="0.3">
      <c r="E68" s="203">
        <v>25285.35</v>
      </c>
      <c r="F68" s="204">
        <f t="shared" si="0"/>
        <v>1.5710455225604214E-2</v>
      </c>
      <c r="H68" s="197">
        <v>489.7</v>
      </c>
      <c r="I68" s="204">
        <f t="shared" si="1"/>
        <v>-1.3000100775975021E-2</v>
      </c>
      <c r="K68" s="197">
        <v>1129.8</v>
      </c>
      <c r="L68" s="204">
        <f t="shared" si="2"/>
        <v>-1.6710182767624038E-2</v>
      </c>
      <c r="N68" s="197">
        <v>714.3</v>
      </c>
      <c r="O68" s="204">
        <f t="shared" si="3"/>
        <v>4.7120050636471067E-3</v>
      </c>
      <c r="Q68" s="197">
        <v>1199.5</v>
      </c>
      <c r="R68" s="204">
        <f t="shared" si="4"/>
        <v>2.5301307804085793E-2</v>
      </c>
    </row>
    <row r="69" spans="5:18" x14ac:dyDescent="0.3">
      <c r="E69" s="203">
        <v>25709.85</v>
      </c>
      <c r="F69" s="204">
        <f t="shared" si="0"/>
        <v>1.6788377459675319E-2</v>
      </c>
      <c r="H69" s="197">
        <v>508.35</v>
      </c>
      <c r="I69" s="204">
        <f t="shared" si="1"/>
        <v>3.8084541556054896E-2</v>
      </c>
      <c r="K69" s="197">
        <v>1132.2</v>
      </c>
      <c r="L69" s="204">
        <f t="shared" si="2"/>
        <v>2.1242697822623224E-3</v>
      </c>
      <c r="N69" s="197">
        <v>735.15</v>
      </c>
      <c r="O69" s="204">
        <f t="shared" si="3"/>
        <v>2.9189416211675701E-2</v>
      </c>
      <c r="Q69" s="197">
        <v>1289.5</v>
      </c>
      <c r="R69" s="204">
        <f t="shared" si="4"/>
        <v>7.5031263026260842E-2</v>
      </c>
    </row>
    <row r="70" spans="5:18" x14ac:dyDescent="0.3">
      <c r="E70" s="203">
        <v>25795.15</v>
      </c>
      <c r="F70" s="204">
        <f t="shared" si="0"/>
        <v>3.3177945417808274E-3</v>
      </c>
      <c r="H70" s="197">
        <v>508.45</v>
      </c>
      <c r="I70" s="204">
        <f t="shared" si="1"/>
        <v>1.9671486180783404E-4</v>
      </c>
      <c r="K70" s="197">
        <v>1130.4000000000001</v>
      </c>
      <c r="L70" s="204">
        <f t="shared" si="2"/>
        <v>-1.5898251192368873E-3</v>
      </c>
      <c r="N70" s="197">
        <v>725.85</v>
      </c>
      <c r="O70" s="204">
        <f t="shared" si="3"/>
        <v>-1.2650479493980793E-2</v>
      </c>
      <c r="Q70" s="197">
        <v>1282</v>
      </c>
      <c r="R70" s="204">
        <f t="shared" si="4"/>
        <v>-5.8162078324932587E-3</v>
      </c>
    </row>
    <row r="71" spans="5:18" x14ac:dyDescent="0.3">
      <c r="E71" s="203">
        <v>25722.1</v>
      </c>
      <c r="F71" s="204">
        <f t="shared" ref="F71:F108" si="5">E71/E70-1</f>
        <v>-2.8319277073404203E-3</v>
      </c>
      <c r="H71" s="197">
        <v>487.55</v>
      </c>
      <c r="I71" s="204">
        <f t="shared" ref="I71:I108" si="6">H71/H70-1</f>
        <v>-4.1105320090470965E-2</v>
      </c>
      <c r="K71" s="197">
        <v>1118.5999999999999</v>
      </c>
      <c r="L71" s="204">
        <f t="shared" ref="L71:L108" si="7">K71/K70-1</f>
        <v>-1.0438782731776564E-2</v>
      </c>
      <c r="N71" s="197">
        <v>719.95</v>
      </c>
      <c r="O71" s="204">
        <f t="shared" ref="O71:O108" si="8">N71/N70-1</f>
        <v>-8.128401184817724E-3</v>
      </c>
      <c r="Q71" s="197">
        <v>1271.5999999999999</v>
      </c>
      <c r="R71" s="204">
        <f t="shared" ref="R71:R108" si="9">Q71/Q70-1</f>
        <v>-8.1123244929798277E-3</v>
      </c>
    </row>
    <row r="72" spans="5:18" x14ac:dyDescent="0.3">
      <c r="E72" s="203">
        <v>25492.3</v>
      </c>
      <c r="F72" s="204">
        <f t="shared" si="5"/>
        <v>-8.9339517379996014E-3</v>
      </c>
      <c r="H72" s="197">
        <v>518.65</v>
      </c>
      <c r="I72" s="204">
        <f t="shared" si="6"/>
        <v>6.3788329402112431E-2</v>
      </c>
      <c r="K72" s="197">
        <v>1121.8</v>
      </c>
      <c r="L72" s="204">
        <f t="shared" si="7"/>
        <v>2.8607187555873548E-3</v>
      </c>
      <c r="N72" s="197">
        <v>711.6</v>
      </c>
      <c r="O72" s="204">
        <f t="shared" si="8"/>
        <v>-1.1598027640808417E-2</v>
      </c>
      <c r="Q72" s="197">
        <v>1262.7</v>
      </c>
      <c r="R72" s="204">
        <f t="shared" si="9"/>
        <v>-6.9990563070146949E-3</v>
      </c>
    </row>
    <row r="73" spans="5:18" x14ac:dyDescent="0.3">
      <c r="E73" s="203">
        <v>25910.05</v>
      </c>
      <c r="F73" s="204">
        <f t="shared" si="5"/>
        <v>1.6387301263518728E-2</v>
      </c>
      <c r="H73" s="197">
        <v>525</v>
      </c>
      <c r="I73" s="204">
        <f t="shared" si="6"/>
        <v>1.2243324014267865E-2</v>
      </c>
      <c r="K73" s="197">
        <v>1146.5</v>
      </c>
      <c r="L73" s="204">
        <f t="shared" si="7"/>
        <v>2.2018185059725415E-2</v>
      </c>
      <c r="N73" s="197">
        <v>738.7</v>
      </c>
      <c r="O73" s="204">
        <f t="shared" si="8"/>
        <v>3.8083192804946542E-2</v>
      </c>
      <c r="Q73" s="197">
        <v>1271.5999999999999</v>
      </c>
      <c r="R73" s="204">
        <f t="shared" si="9"/>
        <v>7.048388374118808E-3</v>
      </c>
    </row>
    <row r="74" spans="5:18" x14ac:dyDescent="0.3">
      <c r="E74" s="203">
        <v>26068.15</v>
      </c>
      <c r="F74" s="204">
        <f t="shared" si="5"/>
        <v>6.1018793865701415E-3</v>
      </c>
      <c r="H74" s="197">
        <v>515.65</v>
      </c>
      <c r="I74" s="204">
        <f t="shared" si="6"/>
        <v>-1.7809523809523831E-2</v>
      </c>
      <c r="K74" s="197">
        <v>1125.2</v>
      </c>
      <c r="L74" s="204">
        <f t="shared" si="7"/>
        <v>-1.8578281726995161E-2</v>
      </c>
      <c r="N74" s="197">
        <v>739.9</v>
      </c>
      <c r="O74" s="204">
        <f t="shared" si="8"/>
        <v>1.6244754298089248E-3</v>
      </c>
      <c r="Q74" s="197">
        <v>1280.7</v>
      </c>
      <c r="R74" s="204">
        <f t="shared" si="9"/>
        <v>7.1563384712174383E-3</v>
      </c>
    </row>
    <row r="75" spans="5:18" x14ac:dyDescent="0.3">
      <c r="E75" s="203">
        <v>26202.95</v>
      </c>
      <c r="F75" s="204">
        <f t="shared" si="5"/>
        <v>5.1710612375637233E-3</v>
      </c>
      <c r="H75" s="197">
        <v>517.4</v>
      </c>
      <c r="I75" s="204">
        <f t="shared" si="6"/>
        <v>3.3937748472800955E-3</v>
      </c>
      <c r="K75" s="197">
        <v>1145.5999999999999</v>
      </c>
      <c r="L75" s="204">
        <f t="shared" si="7"/>
        <v>1.8130110202630556E-2</v>
      </c>
      <c r="N75" s="197">
        <v>717.4</v>
      </c>
      <c r="O75" s="204">
        <f t="shared" si="8"/>
        <v>-3.040951479929721E-2</v>
      </c>
      <c r="Q75" s="197">
        <v>1261.0999999999999</v>
      </c>
      <c r="R75" s="204">
        <f t="shared" si="9"/>
        <v>-1.5304130553603579E-2</v>
      </c>
    </row>
    <row r="76" spans="5:18" x14ac:dyDescent="0.3">
      <c r="E76" s="203">
        <v>26186.45</v>
      </c>
      <c r="F76" s="204">
        <f t="shared" si="5"/>
        <v>-6.297000910202577E-4</v>
      </c>
      <c r="H76" s="197">
        <v>510.1</v>
      </c>
      <c r="I76" s="204">
        <f t="shared" si="6"/>
        <v>-1.4109006571318083E-2</v>
      </c>
      <c r="K76" s="197">
        <v>1136</v>
      </c>
      <c r="L76" s="204">
        <f t="shared" si="7"/>
        <v>-8.379888268156388E-3</v>
      </c>
      <c r="N76" s="197">
        <v>736.65</v>
      </c>
      <c r="O76" s="204">
        <f t="shared" si="8"/>
        <v>2.6833008084750531E-2</v>
      </c>
      <c r="Q76" s="197">
        <v>1246.9000000000001</v>
      </c>
      <c r="R76" s="204">
        <f t="shared" si="9"/>
        <v>-1.1260011101419276E-2</v>
      </c>
    </row>
    <row r="77" spans="5:18" x14ac:dyDescent="0.3">
      <c r="E77" s="203">
        <v>26046.95</v>
      </c>
      <c r="F77" s="204">
        <f t="shared" si="5"/>
        <v>-5.3271825696113995E-3</v>
      </c>
      <c r="H77" s="197">
        <v>495</v>
      </c>
      <c r="I77" s="204">
        <f t="shared" si="6"/>
        <v>-2.9602038815918497E-2</v>
      </c>
      <c r="K77" s="197">
        <v>1153.8</v>
      </c>
      <c r="L77" s="204">
        <f t="shared" si="7"/>
        <v>1.5669014084507049E-2</v>
      </c>
      <c r="N77" s="197">
        <v>727.05</v>
      </c>
      <c r="O77" s="204">
        <f t="shared" si="8"/>
        <v>-1.3031969049073555E-2</v>
      </c>
      <c r="Q77" s="197">
        <v>1238.3</v>
      </c>
      <c r="R77" s="204">
        <f t="shared" si="9"/>
        <v>-6.8971048199536478E-3</v>
      </c>
    </row>
    <row r="78" spans="5:18" x14ac:dyDescent="0.3">
      <c r="E78" s="203">
        <v>25966.400000000001</v>
      </c>
      <c r="F78" s="204">
        <f t="shared" si="5"/>
        <v>-3.0924925951022475E-3</v>
      </c>
      <c r="H78" s="197">
        <v>493.95</v>
      </c>
      <c r="I78" s="204">
        <f t="shared" si="6"/>
        <v>-2.1212121212121904E-3</v>
      </c>
      <c r="K78" s="197">
        <v>1186.2</v>
      </c>
      <c r="L78" s="204">
        <f t="shared" si="7"/>
        <v>2.808112324492984E-2</v>
      </c>
      <c r="N78" s="197">
        <v>741.2</v>
      </c>
      <c r="O78" s="204">
        <f t="shared" si="8"/>
        <v>1.9462210301905092E-2</v>
      </c>
      <c r="Q78" s="197">
        <v>1244.4000000000001</v>
      </c>
      <c r="R78" s="204">
        <f t="shared" si="9"/>
        <v>4.9261083743843415E-3</v>
      </c>
    </row>
    <row r="79" spans="5:18" x14ac:dyDescent="0.3">
      <c r="E79" s="203">
        <v>26042.3</v>
      </c>
      <c r="F79" s="204">
        <f t="shared" si="5"/>
        <v>2.9230081952060782E-3</v>
      </c>
      <c r="H79" s="197">
        <v>488.2</v>
      </c>
      <c r="I79" s="204">
        <f t="shared" si="6"/>
        <v>-1.1640854337483519E-2</v>
      </c>
      <c r="K79" s="197">
        <v>1206.2</v>
      </c>
      <c r="L79" s="204">
        <f t="shared" si="7"/>
        <v>1.6860563142808926E-2</v>
      </c>
      <c r="N79" s="197">
        <v>743.3</v>
      </c>
      <c r="O79" s="204">
        <f t="shared" si="8"/>
        <v>2.8332433890987385E-3</v>
      </c>
      <c r="Q79" s="197">
        <v>1272.5999999999999</v>
      </c>
      <c r="R79" s="204">
        <f t="shared" si="9"/>
        <v>2.2661523625843616E-2</v>
      </c>
    </row>
    <row r="80" spans="5:18" x14ac:dyDescent="0.3">
      <c r="E80" s="203">
        <v>26328.55</v>
      </c>
      <c r="F80" s="204">
        <f t="shared" si="5"/>
        <v>1.0991732681061128E-2</v>
      </c>
      <c r="H80" s="197">
        <v>522.6</v>
      </c>
      <c r="I80" s="204">
        <f t="shared" si="6"/>
        <v>7.0462925030725154E-2</v>
      </c>
      <c r="K80" s="197">
        <v>1235.2</v>
      </c>
      <c r="L80" s="204">
        <f t="shared" si="7"/>
        <v>2.4042447355330898E-2</v>
      </c>
      <c r="N80" s="197">
        <v>757.75</v>
      </c>
      <c r="O80" s="204">
        <f t="shared" si="8"/>
        <v>1.9440333647248842E-2</v>
      </c>
      <c r="Q80" s="197">
        <v>1279.7</v>
      </c>
      <c r="R80" s="204">
        <f t="shared" si="9"/>
        <v>5.5791293415057286E-3</v>
      </c>
    </row>
    <row r="81" spans="5:18" x14ac:dyDescent="0.3">
      <c r="E81" s="203">
        <v>25683.3</v>
      </c>
      <c r="F81" s="204">
        <f t="shared" si="5"/>
        <v>-2.4507616256877029E-2</v>
      </c>
      <c r="H81" s="197">
        <v>522.4</v>
      </c>
      <c r="I81" s="204">
        <f t="shared" si="6"/>
        <v>-3.8270187523925525E-4</v>
      </c>
      <c r="K81" s="197">
        <v>1229.5999999999999</v>
      </c>
      <c r="L81" s="204">
        <f t="shared" si="7"/>
        <v>-4.5336787564768111E-3</v>
      </c>
      <c r="N81" s="197">
        <v>753.45</v>
      </c>
      <c r="O81" s="204">
        <f t="shared" si="8"/>
        <v>-5.6746948201913394E-3</v>
      </c>
      <c r="Q81" s="197">
        <v>1299.0999999999999</v>
      </c>
      <c r="R81" s="204">
        <f t="shared" si="9"/>
        <v>1.5159803078846457E-2</v>
      </c>
    </row>
    <row r="82" spans="5:18" x14ac:dyDescent="0.3">
      <c r="E82" s="203">
        <v>25694.35</v>
      </c>
      <c r="F82" s="204">
        <f t="shared" si="5"/>
        <v>4.3024066222008273E-4</v>
      </c>
      <c r="H82" s="197">
        <v>514.54999999999995</v>
      </c>
      <c r="I82" s="204">
        <f t="shared" si="6"/>
        <v>-1.5026799387442669E-2</v>
      </c>
      <c r="K82" s="197">
        <v>1236.9000000000001</v>
      </c>
      <c r="L82" s="204">
        <f t="shared" si="7"/>
        <v>5.9368900455434304E-3</v>
      </c>
      <c r="N82" s="197">
        <v>760.15</v>
      </c>
      <c r="O82" s="204">
        <f t="shared" si="8"/>
        <v>8.8924281637798863E-3</v>
      </c>
      <c r="Q82" s="197">
        <v>1315.9</v>
      </c>
      <c r="R82" s="204">
        <f t="shared" si="9"/>
        <v>1.2932029866830952E-2</v>
      </c>
    </row>
    <row r="83" spans="5:18" x14ac:dyDescent="0.3">
      <c r="E83" s="203">
        <v>25048.65</v>
      </c>
      <c r="F83" s="204">
        <f t="shared" si="5"/>
        <v>-2.5130038315816394E-2</v>
      </c>
      <c r="H83" s="197">
        <v>519</v>
      </c>
      <c r="I83" s="204">
        <f t="shared" si="6"/>
        <v>8.6483334952871527E-3</v>
      </c>
      <c r="K83" s="197">
        <v>1240.4000000000001</v>
      </c>
      <c r="L83" s="204">
        <f t="shared" si="7"/>
        <v>2.8296547821164975E-3</v>
      </c>
      <c r="N83" s="197">
        <v>740.95</v>
      </c>
      <c r="O83" s="204">
        <f t="shared" si="8"/>
        <v>-2.5258172729066497E-2</v>
      </c>
      <c r="Q83" s="197">
        <v>1293.8</v>
      </c>
      <c r="R83" s="204">
        <f t="shared" si="9"/>
        <v>-1.6794589254502723E-2</v>
      </c>
    </row>
    <row r="84" spans="5:18" x14ac:dyDescent="0.3">
      <c r="E84" s="203">
        <v>25320.65</v>
      </c>
      <c r="F84" s="204">
        <f t="shared" si="5"/>
        <v>1.0858868641623332E-2</v>
      </c>
      <c r="H84" s="197">
        <v>506.6</v>
      </c>
      <c r="I84" s="204">
        <f t="shared" si="6"/>
        <v>-2.3892100192678178E-2</v>
      </c>
      <c r="K84" s="197">
        <v>1154.0999999999999</v>
      </c>
      <c r="L84" s="204">
        <f t="shared" si="7"/>
        <v>-6.9574330861012723E-2</v>
      </c>
      <c r="N84" s="197">
        <v>729.8</v>
      </c>
      <c r="O84" s="204">
        <f t="shared" si="8"/>
        <v>-1.5048248869694469E-2</v>
      </c>
      <c r="Q84" s="197">
        <v>1332.4</v>
      </c>
      <c r="R84" s="204">
        <f t="shared" si="9"/>
        <v>2.9834595764415051E-2</v>
      </c>
    </row>
    <row r="85" spans="5:18" x14ac:dyDescent="0.3">
      <c r="E85" s="203">
        <v>25693.7</v>
      </c>
      <c r="F85" s="204">
        <f t="shared" si="5"/>
        <v>1.4733034104574605E-2</v>
      </c>
      <c r="H85" s="197">
        <v>508.3</v>
      </c>
      <c r="I85" s="204">
        <f t="shared" si="6"/>
        <v>3.3557046979866278E-3</v>
      </c>
      <c r="K85" s="197">
        <v>1181.8</v>
      </c>
      <c r="L85" s="204">
        <f t="shared" si="7"/>
        <v>2.4001386361667043E-2</v>
      </c>
      <c r="N85" s="197">
        <v>752.75</v>
      </c>
      <c r="O85" s="204">
        <f t="shared" si="8"/>
        <v>3.1446971773088528E-2</v>
      </c>
      <c r="Q85" s="197">
        <v>1303.3</v>
      </c>
      <c r="R85" s="204">
        <f t="shared" si="9"/>
        <v>-2.1840288201741331E-2</v>
      </c>
    </row>
    <row r="86" spans="5:18" x14ac:dyDescent="0.3">
      <c r="E86" s="203">
        <v>25471.1</v>
      </c>
      <c r="F86" s="204">
        <f t="shared" si="5"/>
        <v>-8.6636023616685209E-3</v>
      </c>
      <c r="H86" s="197">
        <v>512.45000000000005</v>
      </c>
      <c r="I86" s="204">
        <f t="shared" si="6"/>
        <v>8.1644698012985906E-3</v>
      </c>
      <c r="K86" s="197">
        <v>1195.4000000000001</v>
      </c>
      <c r="L86" s="204">
        <f t="shared" si="7"/>
        <v>1.1507869351836231E-2</v>
      </c>
      <c r="N86" s="197">
        <v>760.15</v>
      </c>
      <c r="O86" s="204">
        <f t="shared" si="8"/>
        <v>9.8306210561274199E-3</v>
      </c>
      <c r="Q86" s="197">
        <v>1282.5999999999999</v>
      </c>
      <c r="R86" s="204">
        <f t="shared" si="9"/>
        <v>-1.5882759149850378E-2</v>
      </c>
    </row>
    <row r="87" spans="5:18" x14ac:dyDescent="0.3">
      <c r="E87" s="203">
        <v>25571.25</v>
      </c>
      <c r="F87" s="204">
        <f t="shared" si="5"/>
        <v>3.9319071418195684E-3</v>
      </c>
      <c r="H87" s="197">
        <v>509.7</v>
      </c>
      <c r="I87" s="204">
        <f t="shared" si="6"/>
        <v>-5.3663772075325245E-3</v>
      </c>
      <c r="K87" s="197">
        <v>1205.9000000000001</v>
      </c>
      <c r="L87" s="204">
        <f t="shared" si="7"/>
        <v>8.7836707378283752E-3</v>
      </c>
      <c r="N87" s="197">
        <v>788.2</v>
      </c>
      <c r="O87" s="204">
        <f t="shared" si="8"/>
        <v>3.6900611721370824E-2</v>
      </c>
      <c r="Q87" s="197">
        <v>1293.8</v>
      </c>
      <c r="R87" s="204">
        <f t="shared" si="9"/>
        <v>8.732262591610862E-3</v>
      </c>
    </row>
    <row r="88" spans="5:18" x14ac:dyDescent="0.3">
      <c r="E88" s="203">
        <v>25178.65</v>
      </c>
      <c r="F88" s="204">
        <f t="shared" si="5"/>
        <v>-1.5353179840641329E-2</v>
      </c>
      <c r="H88" s="197">
        <v>518.5</v>
      </c>
      <c r="I88" s="204">
        <f t="shared" si="6"/>
        <v>1.7265057877182688E-2</v>
      </c>
      <c r="K88" s="197">
        <v>1217.5</v>
      </c>
      <c r="L88" s="204">
        <f t="shared" si="7"/>
        <v>9.6193714238328454E-3</v>
      </c>
      <c r="N88" s="197">
        <v>788.65</v>
      </c>
      <c r="O88" s="204">
        <f t="shared" si="8"/>
        <v>5.7092108601874969E-4</v>
      </c>
      <c r="Q88" s="197">
        <v>1291.7</v>
      </c>
      <c r="R88" s="204">
        <f t="shared" si="9"/>
        <v>-1.623125676302295E-3</v>
      </c>
    </row>
    <row r="89" spans="5:18" x14ac:dyDescent="0.3">
      <c r="E89" s="203">
        <v>24450.45</v>
      </c>
      <c r="F89" s="204">
        <f t="shared" si="5"/>
        <v>-2.892132818876314E-2</v>
      </c>
      <c r="H89" s="197">
        <v>478.6</v>
      </c>
      <c r="I89" s="204">
        <f t="shared" si="6"/>
        <v>-7.69527483124397E-2</v>
      </c>
      <c r="K89" s="197">
        <v>1116.5999999999999</v>
      </c>
      <c r="L89" s="204">
        <f t="shared" si="7"/>
        <v>-8.2874743326488809E-2</v>
      </c>
      <c r="N89" s="197">
        <v>785.25</v>
      </c>
      <c r="O89" s="204">
        <f t="shared" si="8"/>
        <v>-4.3111646484498278E-3</v>
      </c>
      <c r="Q89" s="197">
        <v>1252.4000000000001</v>
      </c>
      <c r="R89" s="204">
        <f t="shared" si="9"/>
        <v>-3.0425021289773091E-2</v>
      </c>
    </row>
    <row r="90" spans="5:18" x14ac:dyDescent="0.3">
      <c r="E90" s="203">
        <v>23151.1</v>
      </c>
      <c r="F90" s="204">
        <f t="shared" si="5"/>
        <v>-5.3142171207482991E-2</v>
      </c>
      <c r="H90" s="197">
        <v>453.5</v>
      </c>
      <c r="I90" s="204">
        <f t="shared" si="6"/>
        <v>-5.2444630171333051E-2</v>
      </c>
      <c r="K90" s="197">
        <v>1027.9000000000001</v>
      </c>
      <c r="L90" s="204">
        <f t="shared" si="7"/>
        <v>-7.9437578362887229E-2</v>
      </c>
      <c r="N90" s="197">
        <v>752.4</v>
      </c>
      <c r="O90" s="204">
        <f t="shared" si="8"/>
        <v>-4.1833810888252221E-2</v>
      </c>
      <c r="Q90" s="197">
        <v>1202.2</v>
      </c>
      <c r="R90" s="204">
        <f t="shared" si="9"/>
        <v>-4.0083040562120753E-2</v>
      </c>
    </row>
    <row r="91" spans="5:18" x14ac:dyDescent="0.3">
      <c r="E91" s="203">
        <v>23114.5</v>
      </c>
      <c r="F91" s="204">
        <f t="shared" si="5"/>
        <v>-1.5809184012853805E-3</v>
      </c>
      <c r="H91" s="197">
        <v>430.7</v>
      </c>
      <c r="I91" s="204">
        <f t="shared" si="6"/>
        <v>-5.0275633958103638E-2</v>
      </c>
      <c r="K91" s="197">
        <v>1017.6</v>
      </c>
      <c r="L91" s="204">
        <f t="shared" si="7"/>
        <v>-1.0020430002918634E-2</v>
      </c>
      <c r="N91" s="197">
        <v>744.3</v>
      </c>
      <c r="O91" s="204">
        <f t="shared" si="8"/>
        <v>-1.0765550239234534E-2</v>
      </c>
      <c r="Q91" s="197">
        <v>1193.5999999999999</v>
      </c>
      <c r="R91" s="204">
        <f t="shared" si="9"/>
        <v>-7.1535518216604421E-3</v>
      </c>
    </row>
    <row r="92" spans="5:18" x14ac:dyDescent="0.3">
      <c r="E92" s="203">
        <v>22819.599999999999</v>
      </c>
      <c r="F92" s="204">
        <f t="shared" si="5"/>
        <v>-1.275822535637805E-2</v>
      </c>
      <c r="H92" s="197">
        <v>419.6</v>
      </c>
      <c r="I92" s="204">
        <f t="shared" si="6"/>
        <v>-2.577199907127925E-2</v>
      </c>
      <c r="K92" s="197">
        <v>1008.7</v>
      </c>
      <c r="L92" s="204">
        <f t="shared" si="7"/>
        <v>-8.7460691823899595E-3</v>
      </c>
      <c r="N92" s="197">
        <v>742.45</v>
      </c>
      <c r="O92" s="204">
        <f t="shared" si="8"/>
        <v>-2.4855568990996835E-3</v>
      </c>
      <c r="Q92" s="197">
        <v>1193.2</v>
      </c>
      <c r="R92" s="204">
        <f t="shared" si="9"/>
        <v>-3.3512064343155235E-4</v>
      </c>
    </row>
    <row r="93" spans="5:18" x14ac:dyDescent="0.3">
      <c r="E93" s="203">
        <v>22713.1</v>
      </c>
      <c r="F93" s="204">
        <f t="shared" si="5"/>
        <v>-4.6670406142088616E-3</v>
      </c>
      <c r="H93" s="197">
        <v>417.25</v>
      </c>
      <c r="I93" s="204">
        <f t="shared" si="6"/>
        <v>-5.6005719733079884E-3</v>
      </c>
      <c r="K93" s="197">
        <v>994.8</v>
      </c>
      <c r="L93" s="204">
        <f t="shared" si="7"/>
        <v>-1.3780113016754303E-2</v>
      </c>
      <c r="N93" s="197">
        <v>761.35</v>
      </c>
      <c r="O93" s="204">
        <f t="shared" si="8"/>
        <v>2.5456259680786575E-2</v>
      </c>
      <c r="Q93" s="197">
        <v>1191.3</v>
      </c>
      <c r="R93" s="204">
        <f t="shared" si="9"/>
        <v>-1.5923566878981443E-3</v>
      </c>
    </row>
    <row r="94" spans="5:18" x14ac:dyDescent="0.3">
      <c r="E94" s="203">
        <v>24050.6</v>
      </c>
      <c r="F94" s="204">
        <f t="shared" si="5"/>
        <v>5.8886721759689342E-2</v>
      </c>
      <c r="H94" s="197">
        <v>435.7</v>
      </c>
      <c r="I94" s="204">
        <f t="shared" si="6"/>
        <v>4.4218094667465513E-2</v>
      </c>
      <c r="K94" s="197">
        <v>1078.0999999999999</v>
      </c>
      <c r="L94" s="204">
        <f t="shared" si="7"/>
        <v>8.3735424205870546E-2</v>
      </c>
      <c r="N94" s="197">
        <v>763.25</v>
      </c>
      <c r="O94" s="204">
        <f t="shared" si="8"/>
        <v>2.4955670847834899E-3</v>
      </c>
      <c r="Q94" s="197">
        <v>1249.3</v>
      </c>
      <c r="R94" s="204">
        <f t="shared" si="9"/>
        <v>4.8686309074120748E-2</v>
      </c>
    </row>
    <row r="95" spans="5:18" x14ac:dyDescent="0.3">
      <c r="E95" s="203">
        <v>24353.55</v>
      </c>
      <c r="F95" s="204">
        <f t="shared" si="5"/>
        <v>1.2596359342386565E-2</v>
      </c>
      <c r="H95" s="197">
        <v>442.85</v>
      </c>
      <c r="I95" s="204">
        <f t="shared" si="6"/>
        <v>1.6410374110626735E-2</v>
      </c>
      <c r="K95" s="197">
        <v>1109.4000000000001</v>
      </c>
      <c r="L95" s="204">
        <f t="shared" si="7"/>
        <v>2.903255727669074E-2</v>
      </c>
      <c r="N95" s="197">
        <v>757.3</v>
      </c>
      <c r="O95" s="204">
        <f t="shared" si="8"/>
        <v>-7.7956108745497188E-3</v>
      </c>
      <c r="Q95" s="197">
        <v>1285.5999999999999</v>
      </c>
      <c r="R95" s="204">
        <f t="shared" si="9"/>
        <v>2.9056271512046816E-2</v>
      </c>
    </row>
    <row r="96" spans="5:18" x14ac:dyDescent="0.3">
      <c r="E96" s="203">
        <v>23897.95</v>
      </c>
      <c r="F96" s="204">
        <f t="shared" si="5"/>
        <v>-1.8707744866764742E-2</v>
      </c>
      <c r="H96" s="197">
        <v>451.1</v>
      </c>
      <c r="I96" s="204">
        <f t="shared" si="6"/>
        <v>1.8629332731173065E-2</v>
      </c>
      <c r="K96" s="197">
        <v>1089.9000000000001</v>
      </c>
      <c r="L96" s="204">
        <f t="shared" si="7"/>
        <v>-1.7577068685776132E-2</v>
      </c>
      <c r="N96" s="197">
        <v>783.3</v>
      </c>
      <c r="O96" s="204">
        <f t="shared" si="8"/>
        <v>3.4332497028918496E-2</v>
      </c>
      <c r="Q96" s="197">
        <v>1421.3</v>
      </c>
      <c r="R96" s="204">
        <f t="shared" si="9"/>
        <v>0.10555382700684501</v>
      </c>
    </row>
    <row r="97" spans="5:18" x14ac:dyDescent="0.3">
      <c r="E97" s="203">
        <v>23997.55</v>
      </c>
      <c r="F97" s="204">
        <f t="shared" si="5"/>
        <v>4.167721499124255E-3</v>
      </c>
      <c r="H97" s="197">
        <v>441.5</v>
      </c>
      <c r="I97" s="204">
        <f t="shared" si="6"/>
        <v>-2.1281312347594783E-2</v>
      </c>
      <c r="K97" s="197">
        <v>1067.0999999999999</v>
      </c>
      <c r="L97" s="204">
        <f t="shared" si="7"/>
        <v>-2.0919350399119296E-2</v>
      </c>
      <c r="N97" s="197">
        <v>775</v>
      </c>
      <c r="O97" s="204">
        <f t="shared" si="8"/>
        <v>-1.059619558279068E-2</v>
      </c>
      <c r="Q97" s="197">
        <v>1458.6</v>
      </c>
      <c r="R97" s="204">
        <f t="shared" si="9"/>
        <v>2.624357982129033E-2</v>
      </c>
    </row>
    <row r="98" spans="5:18" x14ac:dyDescent="0.3">
      <c r="E98" s="203">
        <v>24176.15</v>
      </c>
      <c r="F98" s="204">
        <f t="shared" si="5"/>
        <v>7.4424264143633234E-3</v>
      </c>
      <c r="H98" s="197">
        <v>487.7</v>
      </c>
      <c r="I98" s="204">
        <f t="shared" si="6"/>
        <v>0.10464326160815407</v>
      </c>
      <c r="K98" s="197">
        <v>1042.4000000000001</v>
      </c>
      <c r="L98" s="204">
        <f t="shared" si="7"/>
        <v>-2.3146846593571246E-2</v>
      </c>
      <c r="N98" s="197">
        <v>831.3</v>
      </c>
      <c r="O98" s="204">
        <f t="shared" si="8"/>
        <v>7.2645161290322502E-2</v>
      </c>
      <c r="Q98" s="197">
        <v>1482.4</v>
      </c>
      <c r="R98" s="204">
        <f t="shared" si="9"/>
        <v>1.6317016317016542E-2</v>
      </c>
    </row>
    <row r="99" spans="5:18" x14ac:dyDescent="0.3">
      <c r="E99" s="203">
        <v>23643.5</v>
      </c>
      <c r="F99" s="204">
        <f t="shared" si="5"/>
        <v>-2.2032043977225579E-2</v>
      </c>
      <c r="H99" s="197">
        <v>467.7</v>
      </c>
      <c r="I99" s="204">
        <f t="shared" si="6"/>
        <v>-4.1008816895632516E-2</v>
      </c>
      <c r="K99" s="197">
        <v>1039.2</v>
      </c>
      <c r="L99" s="204">
        <f t="shared" si="7"/>
        <v>-3.0698388334612359E-3</v>
      </c>
      <c r="N99" s="197">
        <v>841.15</v>
      </c>
      <c r="O99" s="204">
        <f t="shared" si="8"/>
        <v>1.1848911343678603E-2</v>
      </c>
      <c r="Q99" s="197">
        <v>1430.5</v>
      </c>
      <c r="R99" s="204">
        <f t="shared" si="9"/>
        <v>-3.5010793308149046E-2</v>
      </c>
    </row>
    <row r="100" spans="5:18" x14ac:dyDescent="0.3">
      <c r="E100" s="203">
        <v>23719.3</v>
      </c>
      <c r="F100" s="204">
        <f t="shared" si="5"/>
        <v>3.2059551250871454E-3</v>
      </c>
      <c r="H100" s="197">
        <v>451.05</v>
      </c>
      <c r="I100" s="204">
        <f t="shared" si="6"/>
        <v>-3.5599743425272612E-2</v>
      </c>
      <c r="K100" s="197">
        <v>1027.5</v>
      </c>
      <c r="L100" s="204">
        <f t="shared" si="7"/>
        <v>-1.1258660508083218E-2</v>
      </c>
      <c r="N100" s="197">
        <v>824.45</v>
      </c>
      <c r="O100" s="204">
        <f t="shared" si="8"/>
        <v>-1.9853771622183825E-2</v>
      </c>
      <c r="Q100" s="197">
        <v>1423.1</v>
      </c>
      <c r="R100" s="204">
        <f t="shared" si="9"/>
        <v>-5.1730164278225299E-3</v>
      </c>
    </row>
    <row r="101" spans="5:18" x14ac:dyDescent="0.3">
      <c r="E101" s="203">
        <v>23547.75</v>
      </c>
      <c r="F101" s="204">
        <f t="shared" si="5"/>
        <v>-7.2325068615008981E-3</v>
      </c>
      <c r="H101" s="197">
        <v>443.4</v>
      </c>
      <c r="I101" s="204">
        <f t="shared" si="6"/>
        <v>-1.6960425673428703E-2</v>
      </c>
      <c r="K101" s="197">
        <v>1029.3</v>
      </c>
      <c r="L101" s="204">
        <f t="shared" si="7"/>
        <v>1.7518248175181217E-3</v>
      </c>
      <c r="N101" s="197">
        <v>821.7</v>
      </c>
      <c r="O101" s="204">
        <f t="shared" si="8"/>
        <v>-3.3355570380253496E-3</v>
      </c>
      <c r="Q101" s="197">
        <v>1421.5</v>
      </c>
      <c r="R101" s="204">
        <f t="shared" si="9"/>
        <v>-1.1243060923336046E-3</v>
      </c>
    </row>
    <row r="102" spans="5:18" x14ac:dyDescent="0.3">
      <c r="E102" s="203">
        <v>23366.7</v>
      </c>
      <c r="F102" s="204">
        <f t="shared" si="5"/>
        <v>-7.6886326719113329E-3</v>
      </c>
      <c r="H102" s="197">
        <v>424.15</v>
      </c>
      <c r="I102" s="204">
        <f t="shared" si="6"/>
        <v>-4.3414524131709542E-2</v>
      </c>
      <c r="K102" s="197">
        <v>998</v>
      </c>
      <c r="L102" s="204">
        <f t="shared" si="7"/>
        <v>-3.0409015836004971E-2</v>
      </c>
      <c r="N102" s="197">
        <v>810.65</v>
      </c>
      <c r="O102" s="204">
        <f t="shared" si="8"/>
        <v>-1.3447730315200301E-2</v>
      </c>
      <c r="Q102" s="197">
        <v>1386.2</v>
      </c>
      <c r="R102" s="204">
        <f t="shared" si="9"/>
        <v>-2.4832922968694993E-2</v>
      </c>
    </row>
    <row r="103" spans="5:18" x14ac:dyDescent="0.3">
      <c r="E103" s="203">
        <v>23622.9</v>
      </c>
      <c r="F103" s="204">
        <f t="shared" si="5"/>
        <v>1.0964321020940027E-2</v>
      </c>
      <c r="H103" s="197">
        <v>426.4</v>
      </c>
      <c r="I103" s="204">
        <f t="shared" si="6"/>
        <v>5.3047271012613972E-3</v>
      </c>
      <c r="K103" s="197">
        <v>1033.3</v>
      </c>
      <c r="L103" s="204">
        <f t="shared" si="7"/>
        <v>3.5370741482965817E-2</v>
      </c>
      <c r="N103" s="197">
        <v>819.05</v>
      </c>
      <c r="O103" s="204">
        <f t="shared" si="8"/>
        <v>1.0362055140936244E-2</v>
      </c>
      <c r="Q103" s="197">
        <v>1373.82</v>
      </c>
      <c r="R103" s="204">
        <f t="shared" si="9"/>
        <v>-8.930890203433961E-3</v>
      </c>
    </row>
    <row r="104" spans="5:18" x14ac:dyDescent="0.3">
      <c r="E104" s="203">
        <v>24013.1</v>
      </c>
      <c r="F104" s="204">
        <f t="shared" si="5"/>
        <v>1.6517870371546062E-2</v>
      </c>
      <c r="H104" s="197">
        <v>423.5</v>
      </c>
      <c r="I104" s="204">
        <f t="shared" si="6"/>
        <v>-6.8011257035647255E-3</v>
      </c>
      <c r="K104" s="197">
        <v>1000.6</v>
      </c>
      <c r="L104" s="204">
        <f t="shared" si="7"/>
        <v>-3.1646182134907552E-2</v>
      </c>
      <c r="N104" s="197">
        <v>817.05</v>
      </c>
      <c r="O104" s="204">
        <f t="shared" si="8"/>
        <v>-2.4418533667053266E-3</v>
      </c>
      <c r="Q104" s="197">
        <v>1412.87</v>
      </c>
      <c r="R104" s="204">
        <f t="shared" si="9"/>
        <v>2.8424393297520778E-2</v>
      </c>
    </row>
    <row r="105" spans="5:18" x14ac:dyDescent="0.3">
      <c r="E105" s="203">
        <v>24056</v>
      </c>
      <c r="F105" s="204">
        <f t="shared" si="5"/>
        <v>1.7865248551833801E-3</v>
      </c>
      <c r="H105" s="197">
        <v>423.9</v>
      </c>
      <c r="I105" s="204">
        <f t="shared" si="6"/>
        <v>9.4451003541906609E-4</v>
      </c>
      <c r="K105" s="197">
        <v>1034.5999999999999</v>
      </c>
      <c r="L105" s="204">
        <f t="shared" si="7"/>
        <v>3.3979612232660328E-2</v>
      </c>
      <c r="N105" s="197">
        <v>825.8</v>
      </c>
      <c r="O105" s="204">
        <f t="shared" si="8"/>
        <v>1.070925891928276E-2</v>
      </c>
      <c r="Q105" s="197">
        <v>1400.68</v>
      </c>
      <c r="R105" s="204">
        <f t="shared" si="9"/>
        <v>-8.6278284626326585E-3</v>
      </c>
    </row>
    <row r="106" spans="5:18" x14ac:dyDescent="0.3">
      <c r="E106" s="203">
        <v>24270.85</v>
      </c>
      <c r="F106" s="204">
        <f t="shared" si="5"/>
        <v>8.9312437645492349E-3</v>
      </c>
      <c r="H106" s="197">
        <v>444.35</v>
      </c>
      <c r="I106" s="204">
        <f t="shared" si="6"/>
        <v>4.8242510025949592E-2</v>
      </c>
      <c r="K106" s="197">
        <v>1076.9000000000001</v>
      </c>
      <c r="L106" s="204">
        <f t="shared" si="7"/>
        <v>4.0885366325150052E-2</v>
      </c>
      <c r="N106" s="197">
        <v>838.55</v>
      </c>
      <c r="O106" s="204">
        <f t="shared" si="8"/>
        <v>1.5439573746669932E-2</v>
      </c>
      <c r="Q106" s="197">
        <v>1457.8</v>
      </c>
      <c r="R106" s="204">
        <f t="shared" si="9"/>
        <v>4.0780192477939181E-2</v>
      </c>
    </row>
    <row r="107" spans="5:18" x14ac:dyDescent="0.3">
      <c r="E107" s="203">
        <v>24206.9</v>
      </c>
      <c r="F107" s="204">
        <f t="shared" si="5"/>
        <v>-2.6348479760699428E-3</v>
      </c>
      <c r="H107" s="197">
        <v>443.5</v>
      </c>
      <c r="I107" s="204">
        <f t="shared" si="6"/>
        <v>-1.9129064926297623E-3</v>
      </c>
      <c r="K107" s="197">
        <v>1088.4000000000001</v>
      </c>
      <c r="L107" s="204">
        <f t="shared" si="7"/>
        <v>1.0678800260005561E-2</v>
      </c>
      <c r="N107" s="197">
        <v>852.5</v>
      </c>
      <c r="O107" s="204">
        <f t="shared" si="8"/>
        <v>1.6635859519408491E-2</v>
      </c>
      <c r="Q107" s="197">
        <v>1455.2</v>
      </c>
      <c r="R107" s="204">
        <f t="shared" si="9"/>
        <v>-1.783509397722538E-3</v>
      </c>
    </row>
    <row r="108" spans="5:18" x14ac:dyDescent="0.3">
      <c r="E108" s="203">
        <v>24072.75</v>
      </c>
      <c r="F108" s="204">
        <f t="shared" si="5"/>
        <v>-5.5418083273778285E-3</v>
      </c>
      <c r="H108" s="197">
        <v>427.2</v>
      </c>
      <c r="I108" s="204">
        <f t="shared" si="6"/>
        <v>-3.6753100338218769E-2</v>
      </c>
      <c r="K108" s="197">
        <v>1071.9000000000001</v>
      </c>
      <c r="L108" s="204">
        <f t="shared" si="7"/>
        <v>-1.5159867695700102E-2</v>
      </c>
      <c r="N108" s="197">
        <v>844</v>
      </c>
      <c r="O108" s="204">
        <f t="shared" si="8"/>
        <v>-9.9706744868035546E-3</v>
      </c>
      <c r="Q108" s="197">
        <v>1427.2</v>
      </c>
      <c r="R108" s="204">
        <f t="shared" si="9"/>
        <v>-1.9241341396371681E-2</v>
      </c>
    </row>
  </sheetData>
  <mergeCells count="5">
    <mergeCell ref="E3:F3"/>
    <mergeCell ref="H3:I3"/>
    <mergeCell ref="K3:L3"/>
    <mergeCell ref="N3:O3"/>
    <mergeCell ref="Q3:R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48F7D-5BA1-4A32-8CDC-92DF2EFB704E}">
  <dimension ref="B2:J7"/>
  <sheetViews>
    <sheetView showGridLines="0" workbookViewId="0">
      <selection activeCell="G3" sqref="G3"/>
    </sheetView>
  </sheetViews>
  <sheetFormatPr defaultRowHeight="14.4" x14ac:dyDescent="0.3"/>
  <cols>
    <col min="1" max="1" width="2.33203125" customWidth="1"/>
    <col min="2" max="2" width="5.5546875" bestFit="1" customWidth="1"/>
    <col min="3" max="3" width="15.21875" bestFit="1" customWidth="1"/>
    <col min="4" max="4" width="8.88671875" bestFit="1" customWidth="1"/>
    <col min="5" max="5" width="10.33203125" bestFit="1" customWidth="1"/>
    <col min="6" max="6" width="14" bestFit="1" customWidth="1"/>
    <col min="7" max="7" width="8.88671875" bestFit="1" customWidth="1"/>
  </cols>
  <sheetData>
    <row r="2" spans="2:10" x14ac:dyDescent="0.3">
      <c r="B2" s="198" t="s">
        <v>84</v>
      </c>
      <c r="C2" s="198" t="s">
        <v>85</v>
      </c>
      <c r="D2" s="198" t="s">
        <v>87</v>
      </c>
      <c r="E2" s="198" t="s">
        <v>89</v>
      </c>
      <c r="F2" s="198" t="s">
        <v>88</v>
      </c>
      <c r="G2" s="198" t="s">
        <v>86</v>
      </c>
    </row>
    <row r="3" spans="2:10" x14ac:dyDescent="0.3">
      <c r="B3" s="197">
        <v>1</v>
      </c>
      <c r="C3" s="197" t="s">
        <v>320</v>
      </c>
      <c r="D3" s="199">
        <v>2143.8000000000002</v>
      </c>
      <c r="E3" s="199">
        <v>1478</v>
      </c>
      <c r="F3" s="199">
        <v>503669.37</v>
      </c>
      <c r="G3" s="197">
        <v>0.03</v>
      </c>
      <c r="I3" s="22"/>
      <c r="J3" s="4"/>
    </row>
    <row r="4" spans="2:10" x14ac:dyDescent="0.3">
      <c r="B4" s="197">
        <v>2</v>
      </c>
      <c r="C4" s="197" t="s">
        <v>326</v>
      </c>
      <c r="D4" s="199">
        <v>844</v>
      </c>
      <c r="E4" s="199">
        <v>557</v>
      </c>
      <c r="F4" s="199">
        <v>110233.91</v>
      </c>
      <c r="G4" s="197">
        <v>0.13</v>
      </c>
      <c r="I4" s="22"/>
    </row>
    <row r="5" spans="2:10" x14ac:dyDescent="0.3">
      <c r="B5" s="197">
        <v>3</v>
      </c>
      <c r="C5" s="197" t="s">
        <v>322</v>
      </c>
      <c r="D5" s="199">
        <v>1427.2</v>
      </c>
      <c r="E5" s="199">
        <v>444.16</v>
      </c>
      <c r="F5" s="199">
        <v>275180.02</v>
      </c>
      <c r="G5" s="197">
        <v>0.08</v>
      </c>
      <c r="I5" s="22"/>
    </row>
    <row r="6" spans="2:10" x14ac:dyDescent="0.3">
      <c r="B6" s="197">
        <v>4</v>
      </c>
      <c r="C6" s="197" t="s">
        <v>325</v>
      </c>
      <c r="D6" s="199">
        <v>1071.9000000000001</v>
      </c>
      <c r="E6" s="199">
        <v>4420.5200000000004</v>
      </c>
      <c r="F6" s="199">
        <v>109646.59</v>
      </c>
      <c r="G6" s="197">
        <v>0.35</v>
      </c>
      <c r="I6" s="22"/>
    </row>
    <row r="7" spans="2:10" x14ac:dyDescent="0.3">
      <c r="B7" s="197">
        <v>5</v>
      </c>
      <c r="C7" s="197" t="s">
        <v>329</v>
      </c>
      <c r="D7" s="199">
        <v>427.2</v>
      </c>
      <c r="E7" s="199">
        <v>1287.32</v>
      </c>
      <c r="F7" s="199">
        <v>75783.25</v>
      </c>
      <c r="G7" s="197">
        <v>0.11</v>
      </c>
      <c r="I7" s="2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7487A-8E3E-4F4C-B5C7-8AFC035AA428}">
  <dimension ref="B2:G30"/>
  <sheetViews>
    <sheetView showGridLines="0" workbookViewId="0">
      <selection activeCell="G7" sqref="G7"/>
    </sheetView>
  </sheetViews>
  <sheetFormatPr defaultRowHeight="14.4" x14ac:dyDescent="0.3"/>
  <cols>
    <col min="1" max="1" width="2.33203125" customWidth="1"/>
  </cols>
  <sheetData>
    <row r="2" spans="2:7" x14ac:dyDescent="0.3">
      <c r="B2" s="50" t="s">
        <v>92</v>
      </c>
      <c r="C2" s="51"/>
      <c r="D2" s="51"/>
      <c r="E2" s="51"/>
      <c r="F2" s="51"/>
      <c r="G2" s="51"/>
    </row>
    <row r="3" spans="2:7" x14ac:dyDescent="0.3">
      <c r="D3" t="s">
        <v>16</v>
      </c>
    </row>
    <row r="4" spans="2:7" x14ac:dyDescent="0.3">
      <c r="B4" s="49" t="s">
        <v>90</v>
      </c>
      <c r="C4" s="30" t="s">
        <v>91</v>
      </c>
    </row>
    <row r="5" spans="2:7" x14ac:dyDescent="0.3">
      <c r="B5" s="47">
        <v>2000</v>
      </c>
      <c r="C5" s="48">
        <v>-0.14649999999999999</v>
      </c>
      <c r="E5" s="52" t="s">
        <v>93</v>
      </c>
      <c r="G5" s="4">
        <f>AVERAGE(C5:C30)</f>
        <v>0.1514923076923077</v>
      </c>
    </row>
    <row r="6" spans="2:7" ht="16.2" x14ac:dyDescent="0.3">
      <c r="B6" s="47">
        <v>2001</v>
      </c>
      <c r="C6" s="48">
        <v>-0.1618</v>
      </c>
      <c r="E6" s="52" t="s">
        <v>94</v>
      </c>
      <c r="G6" s="54">
        <v>1.2999999999999999E-2</v>
      </c>
    </row>
    <row r="7" spans="2:7" x14ac:dyDescent="0.3">
      <c r="B7" s="47">
        <v>2002</v>
      </c>
      <c r="C7" s="48">
        <v>3.2500000000000001E-2</v>
      </c>
      <c r="E7" s="53" t="s">
        <v>95</v>
      </c>
      <c r="G7" s="4">
        <f>SUM(G5:G6)</f>
        <v>0.16449230769230772</v>
      </c>
    </row>
    <row r="8" spans="2:7" x14ac:dyDescent="0.3">
      <c r="B8" s="47">
        <v>2003</v>
      </c>
      <c r="C8" s="48">
        <v>0.71900000000000008</v>
      </c>
    </row>
    <row r="9" spans="2:7" x14ac:dyDescent="0.3">
      <c r="B9" s="47">
        <v>2004</v>
      </c>
      <c r="C9" s="48">
        <v>0.10679999999999999</v>
      </c>
    </row>
    <row r="10" spans="2:7" x14ac:dyDescent="0.3">
      <c r="B10" s="47">
        <v>2005</v>
      </c>
      <c r="C10" s="48">
        <v>0.36340000000000006</v>
      </c>
    </row>
    <row r="11" spans="2:7" x14ac:dyDescent="0.3">
      <c r="B11" s="47">
        <v>2006</v>
      </c>
      <c r="C11" s="48">
        <v>0.39829999999999999</v>
      </c>
    </row>
    <row r="12" spans="2:7" x14ac:dyDescent="0.3">
      <c r="B12" s="47">
        <v>2007</v>
      </c>
      <c r="C12" s="48">
        <v>0.54770000000000008</v>
      </c>
    </row>
    <row r="13" spans="2:7" x14ac:dyDescent="0.3">
      <c r="B13" s="47">
        <v>2008</v>
      </c>
      <c r="C13" s="48">
        <v>-0.51790000000000003</v>
      </c>
    </row>
    <row r="14" spans="2:7" x14ac:dyDescent="0.3">
      <c r="B14" s="47">
        <v>2009</v>
      </c>
      <c r="C14" s="48">
        <v>0.75760000000000005</v>
      </c>
    </row>
    <row r="15" spans="2:7" x14ac:dyDescent="0.3">
      <c r="B15" s="47">
        <v>2010</v>
      </c>
      <c r="C15" s="48">
        <v>0.17949999999999999</v>
      </c>
    </row>
    <row r="16" spans="2:7" x14ac:dyDescent="0.3">
      <c r="B16" s="47">
        <v>2011</v>
      </c>
      <c r="C16" s="48">
        <v>-0.2462</v>
      </c>
    </row>
    <row r="17" spans="2:3" x14ac:dyDescent="0.3">
      <c r="B17" s="47">
        <v>2012</v>
      </c>
      <c r="C17" s="48">
        <v>0.27699999999999997</v>
      </c>
    </row>
    <row r="18" spans="2:3" x14ac:dyDescent="0.3">
      <c r="B18" s="47">
        <v>2013</v>
      </c>
      <c r="C18" s="48">
        <v>6.7599999999999993E-2</v>
      </c>
    </row>
    <row r="19" spans="2:3" x14ac:dyDescent="0.3">
      <c r="B19" s="47">
        <v>2014</v>
      </c>
      <c r="C19" s="48">
        <v>0.31390000000000001</v>
      </c>
    </row>
    <row r="20" spans="2:3" x14ac:dyDescent="0.3">
      <c r="B20" s="47">
        <v>2015</v>
      </c>
      <c r="C20" s="48">
        <v>-4.0599999999999997E-2</v>
      </c>
    </row>
    <row r="21" spans="2:3" x14ac:dyDescent="0.3">
      <c r="B21" s="47">
        <v>2016</v>
      </c>
      <c r="C21" s="48">
        <v>3.0099999999999998E-2</v>
      </c>
    </row>
    <row r="22" spans="2:3" x14ac:dyDescent="0.3">
      <c r="B22" s="47">
        <v>2017</v>
      </c>
      <c r="C22" s="48">
        <v>0.28649999999999998</v>
      </c>
    </row>
    <row r="23" spans="2:3" x14ac:dyDescent="0.3">
      <c r="B23" s="47">
        <v>2018</v>
      </c>
      <c r="C23" s="48">
        <v>3.15E-2</v>
      </c>
    </row>
    <row r="24" spans="2:3" x14ac:dyDescent="0.3">
      <c r="B24" s="47">
        <v>2019</v>
      </c>
      <c r="C24" s="48">
        <v>0.1202</v>
      </c>
    </row>
    <row r="25" spans="2:3" x14ac:dyDescent="0.3">
      <c r="B25" s="47">
        <v>2020</v>
      </c>
      <c r="C25" s="48">
        <v>0.14899999999999999</v>
      </c>
    </row>
    <row r="26" spans="2:3" x14ac:dyDescent="0.3">
      <c r="B26" s="47">
        <v>2021</v>
      </c>
      <c r="C26" s="48">
        <v>0.2412</v>
      </c>
    </row>
    <row r="27" spans="2:3" x14ac:dyDescent="0.3">
      <c r="B27" s="47">
        <v>2022</v>
      </c>
      <c r="C27" s="48">
        <v>4.3200000000000002E-2</v>
      </c>
    </row>
    <row r="28" spans="2:3" x14ac:dyDescent="0.3">
      <c r="B28" s="47">
        <v>2023</v>
      </c>
      <c r="C28" s="48">
        <v>0.19420000000000001</v>
      </c>
    </row>
    <row r="29" spans="2:3" x14ac:dyDescent="0.3">
      <c r="B29" s="47">
        <v>2024</v>
      </c>
      <c r="C29" s="48">
        <v>8.7499999999999994E-2</v>
      </c>
    </row>
    <row r="30" spans="2:3" x14ac:dyDescent="0.3">
      <c r="B30" s="47">
        <v>2025</v>
      </c>
      <c r="C30" s="48">
        <v>0.1051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DCA9C-BC76-4D9D-9D81-864313B0A2F1}">
  <dimension ref="A2:K64"/>
  <sheetViews>
    <sheetView showGridLines="0" workbookViewId="0">
      <selection activeCell="B56" sqref="B56:K56"/>
    </sheetView>
  </sheetViews>
  <sheetFormatPr defaultRowHeight="14.4" x14ac:dyDescent="0.3"/>
  <cols>
    <col min="1" max="1" width="2.33203125" customWidth="1"/>
    <col min="7" max="8" width="10.33203125" bestFit="1" customWidth="1"/>
    <col min="9" max="9" width="11.6640625" customWidth="1"/>
    <col min="10" max="10" width="13.88671875" customWidth="1"/>
    <col min="11" max="11" width="10.33203125" bestFit="1" customWidth="1"/>
  </cols>
  <sheetData>
    <row r="2" spans="2:11" x14ac:dyDescent="0.3">
      <c r="B2" s="220" t="s">
        <v>130</v>
      </c>
      <c r="C2" s="210"/>
      <c r="D2" s="210"/>
      <c r="E2" s="210"/>
      <c r="F2" s="210"/>
      <c r="G2" s="222">
        <f>'Data - Raw FS'!I2</f>
        <v>44256</v>
      </c>
      <c r="H2" s="222">
        <f>'Data - Raw FS'!J2</f>
        <v>44621</v>
      </c>
      <c r="I2" s="222">
        <f>'Data - Raw FS'!K2</f>
        <v>44986</v>
      </c>
      <c r="J2" s="222">
        <f>'Data - Raw FS'!L2</f>
        <v>45352</v>
      </c>
      <c r="K2" s="222">
        <f>'Data - Raw FS'!M2</f>
        <v>45717</v>
      </c>
    </row>
    <row r="4" spans="2:11" x14ac:dyDescent="0.3">
      <c r="B4" s="21" t="s">
        <v>131</v>
      </c>
    </row>
    <row r="5" spans="2:11" x14ac:dyDescent="0.3">
      <c r="B5" s="18" t="str">
        <f>'Data - Raw FS'!B35</f>
        <v>Inventories</v>
      </c>
      <c r="C5" s="18"/>
      <c r="D5" s="18"/>
      <c r="E5" s="18"/>
      <c r="F5" s="18"/>
      <c r="G5" s="192">
        <f>'Data - Raw FS'!I35</f>
        <v>3579</v>
      </c>
      <c r="H5" s="192">
        <f>'Data - Raw FS'!J35</f>
        <v>4096</v>
      </c>
      <c r="I5" s="192">
        <f>'Data - Raw FS'!K35</f>
        <v>4251</v>
      </c>
      <c r="J5" s="192">
        <f>'Data - Raw FS'!L35</f>
        <v>4022</v>
      </c>
      <c r="K5" s="192">
        <f>'Data - Raw FS'!M35</f>
        <v>4415</v>
      </c>
    </row>
    <row r="6" spans="2:11" x14ac:dyDescent="0.3">
      <c r="B6" t="str">
        <f>'Data - Raw FS'!B36</f>
        <v>Trade receivables</v>
      </c>
      <c r="G6" s="68">
        <f>'Data - Raw FS'!I36</f>
        <v>1758</v>
      </c>
      <c r="H6" s="68">
        <f>'Data - Raw FS'!J36</f>
        <v>2236</v>
      </c>
      <c r="I6" s="68">
        <f>'Data - Raw FS'!K36</f>
        <v>3079</v>
      </c>
      <c r="J6" s="68">
        <f>'Data - Raw FS'!L36</f>
        <v>2997</v>
      </c>
      <c r="K6" s="68">
        <f>'Data - Raw FS'!M36</f>
        <v>3819</v>
      </c>
    </row>
    <row r="7" spans="2:11" x14ac:dyDescent="0.3">
      <c r="B7" t="str">
        <f>'Data - Raw FS'!B38</f>
        <v>Loans &amp; Advances</v>
      </c>
      <c r="G7" s="68">
        <f>'Data - Raw FS'!I38</f>
        <v>78</v>
      </c>
      <c r="H7" s="68">
        <f>'Data - Raw FS'!J38</f>
        <v>170</v>
      </c>
      <c r="I7" s="68">
        <f>'Data - Raw FS'!K38</f>
        <v>188</v>
      </c>
      <c r="J7" s="68">
        <f>'Data - Raw FS'!L38</f>
        <v>172</v>
      </c>
      <c r="K7" s="68">
        <f>'Data - Raw FS'!M38</f>
        <v>619</v>
      </c>
    </row>
    <row r="8" spans="2:11" x14ac:dyDescent="0.3">
      <c r="B8" t="str">
        <f>'Data - Raw FS'!B39</f>
        <v>Other asset items</v>
      </c>
      <c r="G8" s="68">
        <f>'Data - Raw FS'!I39</f>
        <v>3957</v>
      </c>
      <c r="H8" s="68">
        <f>'Data - Raw FS'!J39</f>
        <v>3851</v>
      </c>
      <c r="I8" s="68">
        <f>'Data - Raw FS'!K39</f>
        <v>4189</v>
      </c>
      <c r="J8" s="68">
        <f>'Data - Raw FS'!L39</f>
        <v>4345</v>
      </c>
      <c r="K8" s="68">
        <f>'Data - Raw FS'!M39</f>
        <v>4302</v>
      </c>
    </row>
    <row r="9" spans="2:11" x14ac:dyDescent="0.3">
      <c r="B9" s="73" t="s">
        <v>133</v>
      </c>
      <c r="G9" s="79">
        <f>SUM(G5:G8)</f>
        <v>9372</v>
      </c>
      <c r="H9" s="79">
        <f>SUM(H5:H8)</f>
        <v>10353</v>
      </c>
      <c r="I9" s="79">
        <f>SUM(I5:I8)</f>
        <v>11707</v>
      </c>
      <c r="J9" s="79">
        <f>SUM(J5:J8)</f>
        <v>11536</v>
      </c>
      <c r="K9" s="79">
        <f>SUM(K5:K8)</f>
        <v>13155</v>
      </c>
    </row>
    <row r="10" spans="2:11" x14ac:dyDescent="0.3">
      <c r="G10" s="79"/>
      <c r="H10" s="79"/>
      <c r="I10" s="79"/>
      <c r="J10" s="79"/>
      <c r="K10" s="79"/>
    </row>
    <row r="11" spans="2:11" x14ac:dyDescent="0.3">
      <c r="B11" s="73" t="s">
        <v>132</v>
      </c>
      <c r="G11" s="68"/>
      <c r="H11" s="68"/>
      <c r="I11" s="68"/>
      <c r="J11" s="68"/>
      <c r="K11" s="68"/>
    </row>
    <row r="12" spans="2:11" x14ac:dyDescent="0.3">
      <c r="B12" t="s">
        <v>99</v>
      </c>
      <c r="G12" s="68">
        <f>'Data - Raw FS'!I8</f>
        <v>0</v>
      </c>
      <c r="H12" s="68">
        <f>'Data - Raw FS'!J8</f>
        <v>0</v>
      </c>
      <c r="I12" s="68">
        <f>'Data - Raw FS'!K8</f>
        <v>98</v>
      </c>
      <c r="J12" s="68">
        <f>'Data - Raw FS'!L8</f>
        <v>13</v>
      </c>
      <c r="K12" s="68">
        <f>'Data - Raw FS'!M8</f>
        <v>1</v>
      </c>
    </row>
    <row r="13" spans="2:11" x14ac:dyDescent="0.3">
      <c r="B13" t="s">
        <v>377</v>
      </c>
      <c r="G13" s="68">
        <f>'Data - Raw FS'!I12</f>
        <v>96</v>
      </c>
      <c r="H13" s="68">
        <f>'Data - Raw FS'!J12</f>
        <v>119</v>
      </c>
      <c r="I13" s="68">
        <f>'Data - Raw FS'!K12</f>
        <v>98</v>
      </c>
      <c r="J13" s="68">
        <f>'Data - Raw FS'!L12</f>
        <v>91</v>
      </c>
      <c r="K13" s="68">
        <f>'Data - Raw FS'!M12</f>
        <v>0</v>
      </c>
    </row>
    <row r="14" spans="2:11" x14ac:dyDescent="0.3">
      <c r="B14" t="str">
        <f>'Data - Raw FS'!B13</f>
        <v>Trade Payables</v>
      </c>
      <c r="G14" s="68">
        <f>'Data - Raw FS'!I13</f>
        <v>8802</v>
      </c>
      <c r="H14" s="68">
        <f>'Data - Raw FS'!J13</f>
        <v>9068</v>
      </c>
      <c r="I14" s="68">
        <f>'Data - Raw FS'!K13</f>
        <v>9574</v>
      </c>
      <c r="J14" s="68">
        <f>'Data - Raw FS'!L13</f>
        <v>10486</v>
      </c>
      <c r="K14" s="68">
        <f>'Data - Raw FS'!M13</f>
        <v>11315</v>
      </c>
    </row>
    <row r="15" spans="2:11" x14ac:dyDescent="0.3">
      <c r="B15" t="str">
        <f>'Data - Raw FS'!B14</f>
        <v>Other liability items</v>
      </c>
      <c r="G15" s="68">
        <f>'Data - Raw FS'!I14</f>
        <v>12148</v>
      </c>
      <c r="H15" s="68">
        <f>'Data - Raw FS'!J14</f>
        <v>11189</v>
      </c>
      <c r="I15" s="68">
        <f>'Data - Raw FS'!K14</f>
        <v>11664</v>
      </c>
      <c r="J15" s="68">
        <f>'Data - Raw FS'!L14</f>
        <v>15005</v>
      </c>
      <c r="K15" s="68">
        <f>'Data - Raw FS'!M14</f>
        <v>17291</v>
      </c>
    </row>
    <row r="16" spans="2:11" x14ac:dyDescent="0.3">
      <c r="B16" s="73" t="s">
        <v>134</v>
      </c>
      <c r="G16" s="79">
        <f>SUM(G12:G15)</f>
        <v>21046</v>
      </c>
      <c r="H16" s="79">
        <f>SUM(H12:H15)</f>
        <v>20376</v>
      </c>
      <c r="I16" s="79">
        <f>SUM(I12:I15)</f>
        <v>21434</v>
      </c>
      <c r="J16" s="79">
        <f t="shared" ref="J16:K16" si="0">SUM(J12:J15)</f>
        <v>25595</v>
      </c>
      <c r="K16" s="79">
        <f t="shared" si="0"/>
        <v>28607</v>
      </c>
    </row>
    <row r="17" spans="1:11" x14ac:dyDescent="0.3">
      <c r="G17" s="68"/>
      <c r="H17" s="68"/>
      <c r="I17" s="68"/>
      <c r="J17" s="68"/>
      <c r="K17" s="68"/>
    </row>
    <row r="18" spans="1:11" x14ac:dyDescent="0.3">
      <c r="A18" s="74" t="s">
        <v>136</v>
      </c>
      <c r="B18" s="73" t="s">
        <v>135</v>
      </c>
      <c r="G18" s="68">
        <f>G9-G16</f>
        <v>-11674</v>
      </c>
      <c r="H18" s="68">
        <f>H9-H16</f>
        <v>-10023</v>
      </c>
      <c r="I18" s="68">
        <f>I9-I16</f>
        <v>-9727</v>
      </c>
      <c r="J18" s="68">
        <f>J9-J16</f>
        <v>-14059</v>
      </c>
      <c r="K18" s="68">
        <f>K9-K16</f>
        <v>-15452</v>
      </c>
    </row>
    <row r="19" spans="1:11" x14ac:dyDescent="0.3">
      <c r="G19" s="68"/>
      <c r="H19" s="68"/>
      <c r="I19" s="68"/>
      <c r="J19" s="68"/>
      <c r="K19" s="68"/>
    </row>
    <row r="20" spans="1:11" x14ac:dyDescent="0.3">
      <c r="B20" s="73" t="s">
        <v>137</v>
      </c>
      <c r="G20" s="68"/>
      <c r="H20" s="68"/>
      <c r="I20" s="68"/>
      <c r="J20" s="68"/>
      <c r="K20" s="68"/>
    </row>
    <row r="21" spans="1:11" x14ac:dyDescent="0.3">
      <c r="B21" t="str">
        <f>'Data - Raw FS'!B18</f>
        <v>Land</v>
      </c>
      <c r="G21" s="68">
        <f>'Data - Raw FS'!I18</f>
        <v>477</v>
      </c>
      <c r="H21" s="68">
        <f>'Data - Raw FS'!J18</f>
        <v>477</v>
      </c>
      <c r="I21" s="68">
        <f>'Data - Raw FS'!K18</f>
        <v>609</v>
      </c>
      <c r="J21" s="68">
        <f>'Data - Raw FS'!L18</f>
        <v>633</v>
      </c>
      <c r="K21" s="68">
        <f>'Data - Raw FS'!M18</f>
        <v>628</v>
      </c>
    </row>
    <row r="22" spans="1:11" x14ac:dyDescent="0.3">
      <c r="B22" t="str">
        <f>'Data - Raw FS'!B19</f>
        <v>Building</v>
      </c>
      <c r="G22" s="68">
        <f>'Data - Raw FS'!I19</f>
        <v>2602</v>
      </c>
      <c r="H22" s="68">
        <f>'Data - Raw FS'!J19</f>
        <v>2788</v>
      </c>
      <c r="I22" s="68">
        <f>'Data - Raw FS'!K19</f>
        <v>3101</v>
      </c>
      <c r="J22" s="68">
        <f>'Data - Raw FS'!L19</f>
        <v>3590</v>
      </c>
      <c r="K22" s="68">
        <f>'Data - Raw FS'!M19</f>
        <v>3833</v>
      </c>
    </row>
    <row r="23" spans="1:11" x14ac:dyDescent="0.3">
      <c r="B23" t="str">
        <f>'Data - Raw FS'!B20</f>
        <v>Plant Machinery</v>
      </c>
      <c r="G23" s="68">
        <f>'Data - Raw FS'!I20</f>
        <v>6097</v>
      </c>
      <c r="H23" s="68">
        <f>'Data - Raw FS'!J20</f>
        <v>6566</v>
      </c>
      <c r="I23" s="68">
        <f>'Data - Raw FS'!K20</f>
        <v>7612</v>
      </c>
      <c r="J23" s="68">
        <f>'Data - Raw FS'!L20</f>
        <v>8946</v>
      </c>
      <c r="K23" s="68">
        <f>'Data - Raw FS'!M20</f>
        <v>9900</v>
      </c>
    </row>
    <row r="24" spans="1:11" x14ac:dyDescent="0.3">
      <c r="B24" t="str">
        <f>'Data - Raw FS'!B21</f>
        <v>Equipments</v>
      </c>
      <c r="G24" s="68">
        <f>'Data - Raw FS'!I21</f>
        <v>175</v>
      </c>
      <c r="H24" s="68">
        <f>'Data - Raw FS'!J21</f>
        <v>181</v>
      </c>
      <c r="I24" s="68">
        <f>'Data - Raw FS'!K21</f>
        <v>185</v>
      </c>
      <c r="J24" s="68">
        <f>'Data - Raw FS'!L21</f>
        <v>206</v>
      </c>
      <c r="K24" s="68">
        <f>'Data - Raw FS'!M21</f>
        <v>245</v>
      </c>
    </row>
    <row r="25" spans="1:11" x14ac:dyDescent="0.3">
      <c r="B25" t="str">
        <f>'Data - Raw FS'!B22</f>
        <v>Computers</v>
      </c>
      <c r="G25" s="68">
        <f>'Data - Raw FS'!I22</f>
        <v>156</v>
      </c>
      <c r="H25" s="68">
        <f>'Data - Raw FS'!J22</f>
        <v>152</v>
      </c>
      <c r="I25" s="68">
        <f>'Data - Raw FS'!K22</f>
        <v>161</v>
      </c>
      <c r="J25" s="68">
        <f>'Data - Raw FS'!L22</f>
        <v>165</v>
      </c>
      <c r="K25" s="68">
        <f>'Data - Raw FS'!M22</f>
        <v>174</v>
      </c>
    </row>
    <row r="26" spans="1:11" x14ac:dyDescent="0.3">
      <c r="B26" t="str">
        <f>'Data - Raw FS'!B23</f>
        <v>Furniture n fittings</v>
      </c>
      <c r="G26" s="68">
        <f>'Data - Raw FS'!I23</f>
        <v>0</v>
      </c>
      <c r="H26" s="68">
        <f>'Data - Raw FS'!J23</f>
        <v>0</v>
      </c>
      <c r="I26" s="68">
        <f>'Data - Raw FS'!K23</f>
        <v>0</v>
      </c>
      <c r="J26" s="68">
        <f>'Data - Raw FS'!L23</f>
        <v>0</v>
      </c>
      <c r="K26" s="68">
        <f>'Data - Raw FS'!M23</f>
        <v>0</v>
      </c>
    </row>
    <row r="27" spans="1:11" x14ac:dyDescent="0.3">
      <c r="B27" t="str">
        <f>'Data - Raw FS'!B24</f>
        <v>Vehicles</v>
      </c>
      <c r="G27" s="68">
        <f>'Data - Raw FS'!I24</f>
        <v>0</v>
      </c>
      <c r="H27" s="68">
        <f>'Data - Raw FS'!J24</f>
        <v>0</v>
      </c>
      <c r="I27" s="68">
        <f>'Data - Raw FS'!K24</f>
        <v>33</v>
      </c>
      <c r="J27" s="68">
        <f>'Data - Raw FS'!L24</f>
        <v>39</v>
      </c>
      <c r="K27" s="68">
        <f>'Data - Raw FS'!M24</f>
        <v>102</v>
      </c>
    </row>
    <row r="28" spans="1:11" x14ac:dyDescent="0.3">
      <c r="B28" t="str">
        <f>'Data - Raw FS'!B25</f>
        <v>Intangible Assets</v>
      </c>
      <c r="G28" s="68">
        <f>'Data - Raw FS'!I25</f>
        <v>45262</v>
      </c>
      <c r="H28" s="68">
        <f>'Data - Raw FS'!J25</f>
        <v>45262</v>
      </c>
      <c r="I28" s="68">
        <f>'Data - Raw FS'!K25</f>
        <v>45692</v>
      </c>
      <c r="J28" s="68">
        <f>'Data - Raw FS'!L25</f>
        <v>45692</v>
      </c>
      <c r="K28" s="68">
        <f>'Data - Raw FS'!M25</f>
        <v>45692</v>
      </c>
    </row>
    <row r="29" spans="1:11" x14ac:dyDescent="0.3">
      <c r="B29" t="str">
        <f>'Data - Raw FS'!B26</f>
        <v>Other fixed assets</v>
      </c>
      <c r="G29" s="68">
        <f>'Data - Raw FS'!I26</f>
        <v>155</v>
      </c>
      <c r="H29" s="68">
        <f>'Data - Raw FS'!J26</f>
        <v>152</v>
      </c>
      <c r="I29" s="68">
        <f>'Data - Raw FS'!K26</f>
        <v>171</v>
      </c>
      <c r="J29" s="68">
        <f>'Data - Raw FS'!L26</f>
        <v>180</v>
      </c>
      <c r="K29" s="68">
        <f>'Data - Raw FS'!M26</f>
        <v>190</v>
      </c>
    </row>
    <row r="30" spans="1:11" x14ac:dyDescent="0.3">
      <c r="G30" s="68"/>
      <c r="H30" s="68"/>
      <c r="I30" s="68"/>
      <c r="J30" s="68"/>
      <c r="K30" s="68"/>
    </row>
    <row r="31" spans="1:11" x14ac:dyDescent="0.3">
      <c r="B31" s="73" t="s">
        <v>114</v>
      </c>
      <c r="G31" s="68">
        <f>SUM(G21:G29)</f>
        <v>54924</v>
      </c>
      <c r="H31" s="68">
        <f>SUM(H21:H29)</f>
        <v>55578</v>
      </c>
      <c r="I31" s="68">
        <f>SUM(I21:I29)</f>
        <v>57564</v>
      </c>
      <c r="J31" s="68">
        <f>SUM(J21:J29)</f>
        <v>59451</v>
      </c>
      <c r="K31" s="68">
        <f>SUM(K21:K29)</f>
        <v>60764</v>
      </c>
    </row>
    <row r="32" spans="1:11" x14ac:dyDescent="0.3">
      <c r="B32" t="s">
        <v>115</v>
      </c>
      <c r="G32" s="68">
        <f>-'Data - Raw FS'!I28</f>
        <v>-3481</v>
      </c>
      <c r="H32" s="68">
        <f>-'Data - Raw FS'!J28</f>
        <v>-4105</v>
      </c>
      <c r="I32" s="68">
        <f>-'Data - Raw FS'!K28</f>
        <v>-4886</v>
      </c>
      <c r="J32" s="68">
        <f>-'Data - Raw FS'!L28</f>
        <v>-5707</v>
      </c>
      <c r="K32" s="68">
        <f>-'Data - Raw FS'!M28</f>
        <v>-6429</v>
      </c>
    </row>
    <row r="33" spans="1:11" x14ac:dyDescent="0.3">
      <c r="A33" t="s">
        <v>136</v>
      </c>
      <c r="B33" s="73" t="s">
        <v>138</v>
      </c>
      <c r="G33" s="68">
        <f>SUM(G31:G32)</f>
        <v>51443</v>
      </c>
      <c r="H33" s="68">
        <f>SUM(H31:H32)</f>
        <v>51473</v>
      </c>
      <c r="I33" s="68">
        <f>SUM(I31:I32)</f>
        <v>52678</v>
      </c>
      <c r="J33" s="68">
        <f>SUM(J31:J32)</f>
        <v>53744</v>
      </c>
      <c r="K33" s="68">
        <f>SUM(K31:K32)</f>
        <v>54335</v>
      </c>
    </row>
    <row r="34" spans="1:11" x14ac:dyDescent="0.3">
      <c r="G34" s="68"/>
      <c r="H34" s="68"/>
      <c r="I34" s="68"/>
      <c r="J34" s="68"/>
      <c r="K34" s="68"/>
    </row>
    <row r="35" spans="1:11" x14ac:dyDescent="0.3">
      <c r="A35" s="34" t="s">
        <v>136</v>
      </c>
      <c r="B35" s="75" t="s">
        <v>139</v>
      </c>
      <c r="G35" s="68">
        <f>G18+G33</f>
        <v>39769</v>
      </c>
      <c r="H35" s="68">
        <f>H18+H33</f>
        <v>41450</v>
      </c>
      <c r="I35" s="68">
        <f>I18+I33</f>
        <v>42951</v>
      </c>
      <c r="J35" s="68">
        <f>J18+J33</f>
        <v>39685</v>
      </c>
      <c r="K35" s="68">
        <f>K18+K33</f>
        <v>38883</v>
      </c>
    </row>
    <row r="36" spans="1:11" x14ac:dyDescent="0.3">
      <c r="A36" s="34"/>
      <c r="B36" s="62" t="s">
        <v>140</v>
      </c>
      <c r="G36" s="68">
        <f>'Historical FS'!G26</f>
        <v>10891</v>
      </c>
      <c r="H36" s="68">
        <f>'Historical FS'!H26</f>
        <v>12084</v>
      </c>
      <c r="I36" s="68">
        <f>'Historical FS'!I26</f>
        <v>13394</v>
      </c>
      <c r="J36" s="68">
        <f>'Historical FS'!J26</f>
        <v>13889</v>
      </c>
      <c r="K36" s="68">
        <f>'Historical FS'!K26</f>
        <v>13848</v>
      </c>
    </row>
    <row r="38" spans="1:11" x14ac:dyDescent="0.3">
      <c r="B38" s="73" t="s">
        <v>141</v>
      </c>
      <c r="G38" s="123">
        <f>G36/G35</f>
        <v>0.27385652141114941</v>
      </c>
      <c r="H38" s="123">
        <f>H36/H35</f>
        <v>0.29153196622436672</v>
      </c>
      <c r="I38" s="123">
        <f>I36/I35</f>
        <v>0.31184372890037487</v>
      </c>
      <c r="J38" s="123">
        <f>J36/J35</f>
        <v>0.34998110117172737</v>
      </c>
      <c r="K38" s="123">
        <f>K36/K35</f>
        <v>0.35614535915438622</v>
      </c>
    </row>
    <row r="39" spans="1:11" x14ac:dyDescent="0.3">
      <c r="G39" s="68"/>
      <c r="H39" s="68"/>
      <c r="I39" s="68"/>
      <c r="J39" s="68"/>
      <c r="K39" s="68"/>
    </row>
    <row r="40" spans="1:11" x14ac:dyDescent="0.3">
      <c r="A40" s="34" t="s">
        <v>136</v>
      </c>
      <c r="B40" s="220" t="s">
        <v>142</v>
      </c>
      <c r="C40" s="210"/>
      <c r="D40" s="210"/>
      <c r="E40" s="210"/>
      <c r="F40" s="210"/>
      <c r="G40" s="219">
        <f>'Data - Raw FS'!I2</f>
        <v>44256</v>
      </c>
      <c r="H40" s="219">
        <f>'Data - Raw FS'!J2</f>
        <v>44621</v>
      </c>
      <c r="I40" s="219">
        <f>'Data - Raw FS'!K2</f>
        <v>44986</v>
      </c>
      <c r="J40" s="219">
        <f>'Data - Raw FS'!L2</f>
        <v>45352</v>
      </c>
      <c r="K40" s="219">
        <f>'Data - Raw FS'!M2</f>
        <v>45717</v>
      </c>
    </row>
    <row r="41" spans="1:11" x14ac:dyDescent="0.3">
      <c r="G41" s="68"/>
      <c r="H41" s="68"/>
      <c r="I41" s="68"/>
      <c r="J41" s="68"/>
      <c r="K41" s="68"/>
    </row>
    <row r="42" spans="1:11" x14ac:dyDescent="0.3">
      <c r="B42" s="76" t="s">
        <v>143</v>
      </c>
      <c r="G42" s="68">
        <f>-SUM('Data - Raw FS'!I56:I57)</f>
        <v>4066</v>
      </c>
      <c r="H42" s="68">
        <f>-SUM('Data - Raw FS'!J56:J57)</f>
        <v>1053</v>
      </c>
      <c r="I42" s="68">
        <f>-SUM('Data - Raw FS'!K56:K57)</f>
        <v>1011</v>
      </c>
      <c r="J42" s="68">
        <f>-SUM('Data - Raw FS'!L56:L57)</f>
        <v>1457</v>
      </c>
      <c r="K42" s="68">
        <f>-SUM('Data - Raw FS'!M56:M57)</f>
        <v>1262</v>
      </c>
    </row>
    <row r="43" spans="1:11" x14ac:dyDescent="0.3">
      <c r="B43" s="77" t="s">
        <v>144</v>
      </c>
      <c r="G43" s="68" t="s">
        <v>50</v>
      </c>
      <c r="H43" s="68">
        <f>H42-G42</f>
        <v>-3013</v>
      </c>
      <c r="I43" s="68">
        <f>I42-H42</f>
        <v>-42</v>
      </c>
      <c r="J43" s="68">
        <f>J42-I42</f>
        <v>446</v>
      </c>
      <c r="K43" s="68">
        <f>K42-J42</f>
        <v>-195</v>
      </c>
    </row>
    <row r="44" spans="1:11" x14ac:dyDescent="0.3">
      <c r="B44" s="61"/>
      <c r="G44" s="68"/>
      <c r="H44" s="68"/>
      <c r="I44" s="68"/>
      <c r="J44" s="68"/>
      <c r="K44" s="68"/>
    </row>
    <row r="45" spans="1:11" x14ac:dyDescent="0.3">
      <c r="B45" s="61" t="s">
        <v>140</v>
      </c>
      <c r="G45" s="68">
        <f>G36</f>
        <v>10891</v>
      </c>
      <c r="H45" s="68">
        <f>H36</f>
        <v>12084</v>
      </c>
      <c r="I45" s="68">
        <f>I36</f>
        <v>13394</v>
      </c>
      <c r="J45" s="68">
        <f>J36</f>
        <v>13889</v>
      </c>
      <c r="K45" s="68">
        <f>K36</f>
        <v>13848</v>
      </c>
    </row>
    <row r="46" spans="1:11" x14ac:dyDescent="0.3">
      <c r="B46" s="77" t="s">
        <v>145</v>
      </c>
      <c r="G46" s="124">
        <v>0.25</v>
      </c>
      <c r="H46" s="124">
        <v>0.25</v>
      </c>
      <c r="I46" s="124">
        <v>0.25</v>
      </c>
      <c r="J46" s="124">
        <v>0.25</v>
      </c>
      <c r="K46" s="124">
        <v>0.25</v>
      </c>
    </row>
    <row r="47" spans="1:11" x14ac:dyDescent="0.3">
      <c r="B47" s="61" t="s">
        <v>146</v>
      </c>
      <c r="G47" s="68">
        <f>G45*(1-G46)</f>
        <v>8168.25</v>
      </c>
      <c r="H47" s="68">
        <f>H45*(1-H46)</f>
        <v>9063</v>
      </c>
      <c r="I47" s="68">
        <f>I45*(1-I46)</f>
        <v>10045.5</v>
      </c>
      <c r="J47" s="68">
        <f>J45*(1-J46)</f>
        <v>10416.75</v>
      </c>
      <c r="K47" s="68">
        <f>K45*(1-K46)</f>
        <v>10386</v>
      </c>
    </row>
    <row r="48" spans="1:11" x14ac:dyDescent="0.3">
      <c r="B48" s="34"/>
      <c r="G48" s="68"/>
      <c r="H48" s="68"/>
      <c r="I48" s="68"/>
      <c r="J48" s="68"/>
      <c r="K48" s="68"/>
    </row>
    <row r="49" spans="1:11" x14ac:dyDescent="0.3">
      <c r="B49" s="77" t="s">
        <v>147</v>
      </c>
      <c r="G49" s="79"/>
      <c r="H49" s="79">
        <f>SUM(H42:H43)</f>
        <v>-1960</v>
      </c>
      <c r="I49" s="79">
        <f>SUM(I42:I43)</f>
        <v>969</v>
      </c>
      <c r="J49" s="79">
        <f>SUM(J42:J43)</f>
        <v>1903</v>
      </c>
      <c r="K49" s="79">
        <f>SUM(K42:K43)</f>
        <v>1067</v>
      </c>
    </row>
    <row r="50" spans="1:11" ht="15" thickBot="1" x14ac:dyDescent="0.35">
      <c r="B50" s="63"/>
      <c r="G50" s="79"/>
    </row>
    <row r="51" spans="1:11" ht="15" thickBot="1" x14ac:dyDescent="0.35">
      <c r="B51" s="78" t="s">
        <v>148</v>
      </c>
      <c r="G51" s="79"/>
      <c r="H51" s="126">
        <f>H49/H47</f>
        <v>-0.21626393026591637</v>
      </c>
      <c r="I51" s="126">
        <f>I49/I47</f>
        <v>9.646110198596386E-2</v>
      </c>
      <c r="J51" s="126">
        <f>J49/J47</f>
        <v>0.18268653850769193</v>
      </c>
      <c r="K51" s="126">
        <f>K49/K47</f>
        <v>0.10273445022145196</v>
      </c>
    </row>
    <row r="52" spans="1:11" x14ac:dyDescent="0.3">
      <c r="G52" s="79"/>
      <c r="H52" s="79"/>
      <c r="I52" s="79"/>
      <c r="J52" s="79"/>
      <c r="K52" s="79"/>
    </row>
    <row r="53" spans="1:11" ht="15" customHeight="1" x14ac:dyDescent="0.3">
      <c r="G53" s="79"/>
      <c r="H53" s="79"/>
      <c r="J53" s="125" t="s">
        <v>294</v>
      </c>
      <c r="K53" s="126">
        <f>AVERAGE(H51:K51)</f>
        <v>4.1404540112297841E-2</v>
      </c>
    </row>
    <row r="54" spans="1:11" ht="15" customHeight="1" x14ac:dyDescent="0.3">
      <c r="G54" s="79"/>
      <c r="H54" s="79"/>
      <c r="J54" s="125" t="s">
        <v>295</v>
      </c>
      <c r="K54" s="126">
        <f>MEDIAN(H51:K51)</f>
        <v>9.9597776103707902E-2</v>
      </c>
    </row>
    <row r="55" spans="1:11" x14ac:dyDescent="0.3">
      <c r="G55" s="68"/>
      <c r="H55" s="68"/>
      <c r="I55" s="68"/>
      <c r="J55" s="68"/>
      <c r="K55" s="68"/>
    </row>
    <row r="56" spans="1:11" x14ac:dyDescent="0.3">
      <c r="A56" s="34" t="s">
        <v>136</v>
      </c>
      <c r="B56" s="220" t="s">
        <v>149</v>
      </c>
      <c r="C56" s="210"/>
      <c r="D56" s="210"/>
      <c r="E56" s="210"/>
      <c r="F56" s="210"/>
      <c r="G56" s="219">
        <f>'Data - Raw FS'!I2</f>
        <v>44256</v>
      </c>
      <c r="H56" s="219">
        <f>'Data - Raw FS'!J2</f>
        <v>44621</v>
      </c>
      <c r="I56" s="219">
        <f>'Data - Raw FS'!K2</f>
        <v>44986</v>
      </c>
      <c r="J56" s="219">
        <f>'Data - Raw FS'!L2</f>
        <v>45352</v>
      </c>
      <c r="K56" s="219">
        <f>'Data - Raw FS'!M2</f>
        <v>45717</v>
      </c>
    </row>
    <row r="57" spans="1:11" x14ac:dyDescent="0.3">
      <c r="B57" s="61"/>
      <c r="G57" s="68"/>
      <c r="H57" s="68"/>
      <c r="I57" s="68"/>
      <c r="J57" s="68"/>
      <c r="K57" s="68"/>
    </row>
    <row r="58" spans="1:11" x14ac:dyDescent="0.3">
      <c r="B58" s="77" t="s">
        <v>148</v>
      </c>
      <c r="G58" s="68"/>
      <c r="H58" s="123">
        <f>H51</f>
        <v>-0.21626393026591637</v>
      </c>
      <c r="I58" s="123">
        <f>I51</f>
        <v>9.646110198596386E-2</v>
      </c>
      <c r="J58" s="123">
        <f>J51</f>
        <v>0.18268653850769193</v>
      </c>
      <c r="K58" s="123">
        <f>K51</f>
        <v>0.10273445022145196</v>
      </c>
    </row>
    <row r="59" spans="1:11" x14ac:dyDescent="0.3">
      <c r="B59" s="61" t="s">
        <v>141</v>
      </c>
      <c r="G59" s="68"/>
      <c r="H59" s="123">
        <f>H38</f>
        <v>0.29153196622436672</v>
      </c>
      <c r="I59" s="123">
        <f>I38</f>
        <v>0.31184372890037487</v>
      </c>
      <c r="J59" s="123">
        <f>J38</f>
        <v>0.34998110117172737</v>
      </c>
      <c r="K59" s="123">
        <f>K38</f>
        <v>0.35614535915438622</v>
      </c>
    </row>
    <row r="60" spans="1:11" ht="15" thickBot="1" x14ac:dyDescent="0.35">
      <c r="B60" s="63"/>
      <c r="G60" s="68"/>
      <c r="H60" s="68"/>
      <c r="I60" s="68"/>
      <c r="J60" s="68"/>
      <c r="K60" s="68"/>
    </row>
    <row r="61" spans="1:11" ht="15" thickBot="1" x14ac:dyDescent="0.35">
      <c r="B61" s="78" t="s">
        <v>150</v>
      </c>
      <c r="G61" s="68"/>
      <c r="H61" s="123">
        <f>H58*H59</f>
        <v>-6.3047848813831936E-2</v>
      </c>
      <c r="I61" s="123">
        <f>I58*I59</f>
        <v>3.0080789737142326E-2</v>
      </c>
      <c r="J61" s="123">
        <f>J58*J59</f>
        <v>6.393683591617319E-2</v>
      </c>
      <c r="K61" s="123">
        <f>K58*K59</f>
        <v>3.658839767164742E-2</v>
      </c>
    </row>
    <row r="63" spans="1:11" x14ac:dyDescent="0.3">
      <c r="J63" s="125" t="s">
        <v>294</v>
      </c>
      <c r="K63" s="4">
        <f>AVERAGE(H61:K61)</f>
        <v>1.6889543627782749E-2</v>
      </c>
    </row>
    <row r="64" spans="1:11" x14ac:dyDescent="0.3">
      <c r="J64" s="125" t="s">
        <v>295</v>
      </c>
      <c r="K64" s="4">
        <f>MEDIAN(H61:K61)</f>
        <v>3.3334593704394871E-2</v>
      </c>
    </row>
  </sheetData>
  <pageMargins left="0.7" right="0.7" top="0.75" bottom="0.75" header="0.3" footer="0.3"/>
  <ignoredErrors>
    <ignoredError sqref="I42:K42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17475-6345-4915-A61A-6D045937EC50}">
  <dimension ref="B2:S45"/>
  <sheetViews>
    <sheetView showGridLines="0" topLeftCell="A20" workbookViewId="0">
      <selection activeCell="B32" sqref="B32:E32"/>
    </sheetView>
  </sheetViews>
  <sheetFormatPr defaultRowHeight="14.4" x14ac:dyDescent="0.3"/>
  <cols>
    <col min="1" max="1" width="2.33203125" customWidth="1"/>
    <col min="2" max="2" width="22.109375" bestFit="1" customWidth="1"/>
    <col min="4" max="4" width="9.88671875" bestFit="1" customWidth="1"/>
    <col min="5" max="5" width="11.33203125" customWidth="1"/>
    <col min="6" max="6" width="10.109375" customWidth="1"/>
    <col min="7" max="7" width="10" customWidth="1"/>
    <col min="8" max="8" width="12" customWidth="1"/>
    <col min="9" max="11" width="10.21875" bestFit="1" customWidth="1"/>
    <col min="12" max="19" width="9.21875" bestFit="1" customWidth="1"/>
  </cols>
  <sheetData>
    <row r="2" spans="2:9" x14ac:dyDescent="0.3">
      <c r="D2" s="129">
        <v>0</v>
      </c>
      <c r="E2" s="129">
        <v>0.5</v>
      </c>
      <c r="F2" s="129">
        <v>1.5</v>
      </c>
      <c r="G2" s="129">
        <v>2.5</v>
      </c>
      <c r="H2" s="129">
        <v>3.5</v>
      </c>
      <c r="I2" s="129">
        <v>4.5</v>
      </c>
    </row>
    <row r="3" spans="2:9" x14ac:dyDescent="0.3">
      <c r="B3" s="218" t="s">
        <v>296</v>
      </c>
      <c r="C3" s="218"/>
      <c r="D3" s="219">
        <f>'Data - Raw FS'!M2</f>
        <v>45717</v>
      </c>
      <c r="E3" s="219">
        <f>D3+365</f>
        <v>46082</v>
      </c>
      <c r="F3" s="219">
        <f>E3+365</f>
        <v>46447</v>
      </c>
      <c r="G3" s="219">
        <f>F3+365</f>
        <v>46812</v>
      </c>
      <c r="H3" s="219">
        <f>G3+365</f>
        <v>47177</v>
      </c>
      <c r="I3" s="219">
        <f>H3+365</f>
        <v>47542</v>
      </c>
    </row>
    <row r="5" spans="2:9" x14ac:dyDescent="0.3">
      <c r="B5" s="34" t="s">
        <v>140</v>
      </c>
      <c r="C5" s="34"/>
      <c r="D5" s="134">
        <f>'Historical FS'!K26</f>
        <v>13848</v>
      </c>
      <c r="E5" s="134">
        <f>D5*(1+$E$19)</f>
        <v>14309.617453618461</v>
      </c>
      <c r="F5" s="134">
        <f>E5*(1+$E$19)</f>
        <v>14786.622737500151</v>
      </c>
      <c r="G5" s="134">
        <f>F5*(1+$E$19)</f>
        <v>15279.528798714886</v>
      </c>
      <c r="H5" s="134">
        <f>G5*(1+$E$19)</f>
        <v>15788.865683214648</v>
      </c>
      <c r="I5" s="134">
        <f>H5*(1+$E$19)</f>
        <v>16315.181105817872</v>
      </c>
    </row>
    <row r="6" spans="2:9" x14ac:dyDescent="0.3">
      <c r="B6" s="34"/>
      <c r="C6" s="34"/>
      <c r="D6" s="34"/>
      <c r="E6" s="34"/>
      <c r="F6" s="34"/>
      <c r="G6" s="34"/>
      <c r="H6" s="34"/>
      <c r="I6" s="34"/>
    </row>
    <row r="7" spans="2:9" x14ac:dyDescent="0.3">
      <c r="B7" s="34" t="s">
        <v>22</v>
      </c>
      <c r="C7" s="34"/>
      <c r="D7" s="6">
        <v>0.25</v>
      </c>
      <c r="E7" s="6">
        <v>0.25</v>
      </c>
      <c r="F7" s="6">
        <v>0.25</v>
      </c>
      <c r="G7" s="6">
        <v>0.25</v>
      </c>
      <c r="H7" s="6">
        <v>0.25</v>
      </c>
      <c r="I7" s="6">
        <v>0.25</v>
      </c>
    </row>
    <row r="8" spans="2:9" x14ac:dyDescent="0.3">
      <c r="B8" s="34"/>
      <c r="C8" s="34"/>
      <c r="D8" s="34"/>
      <c r="E8" s="34"/>
      <c r="F8" s="34"/>
      <c r="G8" s="34"/>
      <c r="H8" s="34"/>
      <c r="I8" s="34"/>
    </row>
    <row r="9" spans="2:9" x14ac:dyDescent="0.3">
      <c r="B9" s="34" t="s">
        <v>297</v>
      </c>
      <c r="C9" s="34"/>
      <c r="D9" s="134">
        <f>D5*(1-D7)</f>
        <v>10386</v>
      </c>
      <c r="E9" s="134">
        <f>E5*(1-E7)</f>
        <v>10732.213090213845</v>
      </c>
      <c r="F9" s="134">
        <f t="shared" ref="F9:I9" si="0">F5*(1-F7)</f>
        <v>11089.967053125114</v>
      </c>
      <c r="G9" s="134">
        <f t="shared" si="0"/>
        <v>11459.646599036165</v>
      </c>
      <c r="H9" s="134">
        <f t="shared" si="0"/>
        <v>11841.649262410985</v>
      </c>
      <c r="I9" s="134">
        <f t="shared" si="0"/>
        <v>12236.385829363404</v>
      </c>
    </row>
    <row r="10" spans="2:9" x14ac:dyDescent="0.3">
      <c r="B10" s="34"/>
      <c r="C10" s="34"/>
      <c r="D10" s="34"/>
      <c r="E10" s="34"/>
      <c r="F10" s="34"/>
      <c r="G10" s="34"/>
      <c r="H10" s="34"/>
      <c r="I10" s="34"/>
    </row>
    <row r="11" spans="2:9" x14ac:dyDescent="0.3">
      <c r="B11" s="52" t="s">
        <v>298</v>
      </c>
      <c r="C11" s="34"/>
      <c r="D11" s="4">
        <f>'Intrisic Growth'!K54</f>
        <v>9.9597776103707902E-2</v>
      </c>
      <c r="E11" s="135">
        <f>D11+(($I$11-$D$11)/4)</f>
        <v>0.10219833207778092</v>
      </c>
      <c r="F11" s="135">
        <f>E11+(($I$11-$D$11)/4)</f>
        <v>0.10479888805185394</v>
      </c>
      <c r="G11" s="135">
        <f>F11+(($I$11-$D$11)/4)</f>
        <v>0.10739944402592697</v>
      </c>
      <c r="H11" s="135">
        <f>G11+(($I$11-$D$11)/4)</f>
        <v>0.10999999999999999</v>
      </c>
      <c r="I11" s="40">
        <v>0.11</v>
      </c>
    </row>
    <row r="12" spans="2:9" ht="15" thickBot="1" x14ac:dyDescent="0.35">
      <c r="B12" s="63"/>
      <c r="C12" s="63"/>
      <c r="D12" s="63"/>
      <c r="E12" s="63"/>
      <c r="F12" s="63"/>
      <c r="G12" s="63"/>
      <c r="H12" s="63"/>
      <c r="I12" s="63"/>
    </row>
    <row r="13" spans="2:9" ht="15" thickBot="1" x14ac:dyDescent="0.35">
      <c r="B13" s="78" t="s">
        <v>317</v>
      </c>
      <c r="C13" s="63"/>
      <c r="D13" s="136">
        <f t="shared" ref="D13:I13" si="1">D9*(1-D11)</f>
        <v>9351.5774973868902</v>
      </c>
      <c r="E13" s="136">
        <f t="shared" si="1"/>
        <v>9635.3988128906622</v>
      </c>
      <c r="F13" s="136">
        <f t="shared" si="1"/>
        <v>9927.7508374259069</v>
      </c>
      <c r="G13" s="136">
        <f t="shared" si="1"/>
        <v>10228.886925566076</v>
      </c>
      <c r="H13" s="136">
        <f t="shared" si="1"/>
        <v>10539.067843545778</v>
      </c>
      <c r="I13" s="136">
        <f t="shared" si="1"/>
        <v>10890.38338813343</v>
      </c>
    </row>
    <row r="14" spans="2:9" x14ac:dyDescent="0.3">
      <c r="B14" s="34"/>
      <c r="C14" s="34"/>
      <c r="D14" s="34"/>
      <c r="E14" s="34"/>
      <c r="F14" s="34"/>
      <c r="G14" s="34"/>
      <c r="H14" s="34"/>
      <c r="I14" s="34"/>
    </row>
    <row r="15" spans="2:9" x14ac:dyDescent="0.3">
      <c r="B15" s="52" t="s">
        <v>299</v>
      </c>
      <c r="C15" s="34"/>
      <c r="D15" s="137">
        <f>1/(1+$E$26)^D2</f>
        <v>1</v>
      </c>
      <c r="E15" s="137">
        <f>1/(1+$E$26)^E2</f>
        <v>0.95581706286602497</v>
      </c>
      <c r="F15" s="137">
        <f t="shared" ref="F15:H15" si="2">1/(1+$E$26)^F2</f>
        <v>0.87322133347692166</v>
      </c>
      <c r="G15" s="137">
        <f t="shared" si="2"/>
        <v>0.79776301016515072</v>
      </c>
      <c r="H15" s="137">
        <f t="shared" si="2"/>
        <v>0.72882532296101121</v>
      </c>
      <c r="I15" s="137">
        <f>1/(1+$E$26)^I2</f>
        <v>0.66584479929604357</v>
      </c>
    </row>
    <row r="16" spans="2:9" ht="15" thickBot="1" x14ac:dyDescent="0.35">
      <c r="B16" s="63"/>
      <c r="C16" s="63"/>
      <c r="D16" s="63"/>
      <c r="E16" s="63"/>
      <c r="F16" s="63"/>
      <c r="G16" s="63"/>
      <c r="H16" s="63"/>
      <c r="I16" s="63"/>
    </row>
    <row r="17" spans="2:19" ht="15" thickBot="1" x14ac:dyDescent="0.35">
      <c r="B17" s="78" t="s">
        <v>300</v>
      </c>
      <c r="C17" s="63"/>
      <c r="D17" s="136">
        <f t="shared" ref="D17:I17" si="3">D13*D15</f>
        <v>9351.5774973868902</v>
      </c>
      <c r="E17" s="136">
        <f t="shared" si="3"/>
        <v>9209.6785928799363</v>
      </c>
      <c r="F17" s="136">
        <f t="shared" si="3"/>
        <v>8669.1238246836765</v>
      </c>
      <c r="G17" s="136">
        <f t="shared" si="3"/>
        <v>8160.2276243785464</v>
      </c>
      <c r="H17" s="136">
        <f t="shared" si="3"/>
        <v>7681.1395247802593</v>
      </c>
      <c r="I17" s="136">
        <f t="shared" si="3"/>
        <v>7251.3051413286712</v>
      </c>
    </row>
    <row r="18" spans="2:19" x14ac:dyDescent="0.3">
      <c r="B18" s="34"/>
      <c r="C18" s="34"/>
      <c r="D18" s="34"/>
      <c r="E18" s="34"/>
      <c r="F18" s="34"/>
      <c r="G18" s="34"/>
      <c r="H18" s="34"/>
      <c r="I18" s="34"/>
    </row>
    <row r="19" spans="2:19" x14ac:dyDescent="0.3">
      <c r="B19" s="130" t="s">
        <v>301</v>
      </c>
      <c r="C19" s="39"/>
      <c r="D19" s="39"/>
      <c r="E19" s="131">
        <f>'Intrisic Growth'!K64</f>
        <v>3.3334593704394871E-2</v>
      </c>
      <c r="F19" s="34"/>
      <c r="G19" s="34"/>
      <c r="H19" s="34"/>
      <c r="I19" s="34"/>
    </row>
    <row r="20" spans="2:19" x14ac:dyDescent="0.3">
      <c r="B20" s="130" t="s">
        <v>302</v>
      </c>
      <c r="C20" s="39"/>
      <c r="D20" s="39"/>
      <c r="E20" s="131">
        <v>5.5E-2</v>
      </c>
      <c r="F20" s="34"/>
      <c r="G20" s="34"/>
      <c r="H20" s="34"/>
      <c r="I20" s="34"/>
    </row>
    <row r="21" spans="2:19" x14ac:dyDescent="0.3">
      <c r="B21" s="34"/>
      <c r="C21" s="34"/>
      <c r="D21" s="34"/>
      <c r="E21" s="34"/>
      <c r="F21" s="34"/>
      <c r="G21" s="34"/>
      <c r="H21" s="34"/>
      <c r="I21" s="34"/>
    </row>
    <row r="22" spans="2:19" x14ac:dyDescent="0.3">
      <c r="B22" s="34"/>
      <c r="C22" s="34"/>
      <c r="D22" s="34"/>
      <c r="E22" s="34"/>
      <c r="F22" s="34"/>
      <c r="G22" s="34"/>
      <c r="H22" s="220" t="s">
        <v>361</v>
      </c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</row>
    <row r="23" spans="2:19" x14ac:dyDescent="0.3">
      <c r="B23" s="220" t="s">
        <v>303</v>
      </c>
      <c r="C23" s="210"/>
      <c r="D23" s="210"/>
      <c r="E23" s="210"/>
      <c r="F23" s="34"/>
      <c r="G23" s="34"/>
      <c r="H23" s="158">
        <f>E36</f>
        <v>239601.09999909077</v>
      </c>
      <c r="I23" s="159">
        <v>9.4589999999999994E-2</v>
      </c>
      <c r="J23" s="164">
        <v>0.11</v>
      </c>
      <c r="K23" s="159">
        <v>0.12</v>
      </c>
      <c r="L23" s="164">
        <v>0.13</v>
      </c>
      <c r="M23" s="159">
        <v>0.14180000000000001</v>
      </c>
      <c r="N23" s="164">
        <v>0.15</v>
      </c>
      <c r="O23" s="159">
        <v>0.16</v>
      </c>
      <c r="P23" s="164">
        <v>0.17</v>
      </c>
      <c r="Q23" s="159">
        <v>0.18</v>
      </c>
      <c r="R23" s="159">
        <v>0.19</v>
      </c>
      <c r="S23" s="164">
        <v>0.2</v>
      </c>
    </row>
    <row r="24" spans="2:19" x14ac:dyDescent="0.3">
      <c r="B24" s="34"/>
      <c r="C24" s="34"/>
      <c r="D24" s="34"/>
      <c r="E24" s="34"/>
      <c r="F24" s="34"/>
      <c r="G24" s="34"/>
      <c r="H24" s="163">
        <v>0.02</v>
      </c>
      <c r="I24" s="161">
        <f t="dataTable" ref="I24:S30" dt2D="1" dtr="1" r1="E26" r2="E27"/>
        <v>150777.89624078741</v>
      </c>
      <c r="J24" s="162">
        <v>127168.23463199231</v>
      </c>
      <c r="K24" s="162">
        <v>115742.77323967442</v>
      </c>
      <c r="L24" s="162">
        <v>106396.25564980076</v>
      </c>
      <c r="M24" s="162">
        <v>97343.005252910443</v>
      </c>
      <c r="N24" s="162">
        <v>92020.550689528769</v>
      </c>
      <c r="O24" s="162">
        <v>86374.398442967591</v>
      </c>
      <c r="P24" s="162">
        <v>81481.849816249771</v>
      </c>
      <c r="Q24" s="162">
        <v>77201.528724833042</v>
      </c>
      <c r="R24" s="162">
        <v>73425.328544124917</v>
      </c>
      <c r="S24" s="162">
        <v>70069.170306619999</v>
      </c>
    </row>
    <row r="25" spans="2:19" x14ac:dyDescent="0.3">
      <c r="B25" s="52" t="s">
        <v>304</v>
      </c>
      <c r="C25" s="34"/>
      <c r="D25" s="34"/>
      <c r="E25" s="127">
        <f>I13*(1+E19)</f>
        <v>11253.40989366195</v>
      </c>
      <c r="F25" s="34"/>
      <c r="G25" s="34"/>
      <c r="H25" s="160">
        <v>0.03</v>
      </c>
      <c r="I25" s="161">
        <v>166330.62519490387</v>
      </c>
      <c r="J25" s="162">
        <v>136940.56716904498</v>
      </c>
      <c r="K25" s="162">
        <v>123251.40016459153</v>
      </c>
      <c r="L25" s="162">
        <v>112298.78910138327</v>
      </c>
      <c r="M25" s="162">
        <v>101893.30359223913</v>
      </c>
      <c r="N25" s="162">
        <v>95866.639053420717</v>
      </c>
      <c r="O25" s="162">
        <v>89545.073954354215</v>
      </c>
      <c r="P25" s="162">
        <v>84125.649006843159</v>
      </c>
      <c r="Q25" s="162">
        <v>79427.932159393269</v>
      </c>
      <c r="R25" s="162">
        <v>75316.600172393388</v>
      </c>
      <c r="S25" s="162">
        <v>71688.171258836199</v>
      </c>
    </row>
    <row r="26" spans="2:19" x14ac:dyDescent="0.3">
      <c r="B26" s="34" t="s">
        <v>305</v>
      </c>
      <c r="C26" s="34"/>
      <c r="D26" s="34"/>
      <c r="E26" s="156">
        <f>WACC!K37</f>
        <v>9.4587392935340284E-2</v>
      </c>
      <c r="F26" s="34"/>
      <c r="G26" s="34"/>
      <c r="H26" s="163">
        <v>0.04</v>
      </c>
      <c r="I26" s="161">
        <v>187581.36805417389</v>
      </c>
      <c r="J26" s="162">
        <v>149504.9947166841</v>
      </c>
      <c r="K26" s="162">
        <v>132637.18382073793</v>
      </c>
      <c r="L26" s="162">
        <v>119512.99665331744</v>
      </c>
      <c r="M26" s="162">
        <v>107337.57017112162</v>
      </c>
      <c r="N26" s="162">
        <v>100412.01621074756</v>
      </c>
      <c r="O26" s="162">
        <v>93244.195384305291</v>
      </c>
      <c r="P26" s="162">
        <v>87176.186534450884</v>
      </c>
      <c r="Q26" s="162">
        <v>81972.393227462075</v>
      </c>
      <c r="R26" s="162">
        <v>77460.041351097665</v>
      </c>
      <c r="S26" s="162">
        <v>73509.547330079426</v>
      </c>
    </row>
    <row r="27" spans="2:19" x14ac:dyDescent="0.3">
      <c r="B27" s="52" t="s">
        <v>306</v>
      </c>
      <c r="C27" s="34"/>
      <c r="D27" s="34"/>
      <c r="E27" s="128">
        <f>E20</f>
        <v>5.5E-2</v>
      </c>
      <c r="F27" s="34"/>
      <c r="G27" s="34"/>
      <c r="H27" s="163">
        <v>5.5E-2</v>
      </c>
      <c r="I27" s="161">
        <v>239586.37492258433</v>
      </c>
      <c r="J27" s="162">
        <v>176918.29118426045</v>
      </c>
      <c r="K27" s="162">
        <v>152130.73449119576</v>
      </c>
      <c r="L27" s="162">
        <v>133941.41175718579</v>
      </c>
      <c r="M27" s="162">
        <v>117856.04373423901</v>
      </c>
      <c r="N27" s="162">
        <v>109024.30977199844</v>
      </c>
      <c r="O27" s="162">
        <v>100113.992325643</v>
      </c>
      <c r="P27" s="162">
        <v>92746.733323995461</v>
      </c>
      <c r="Q27" s="162">
        <v>86552.423149985931</v>
      </c>
      <c r="R27" s="162">
        <v>81270.603446571942</v>
      </c>
      <c r="S27" s="162">
        <v>76712.656972610595</v>
      </c>
    </row>
    <row r="28" spans="2:19" ht="15" thickBot="1" x14ac:dyDescent="0.35">
      <c r="B28" s="63"/>
      <c r="C28" s="63"/>
      <c r="D28" s="63"/>
      <c r="E28" s="63"/>
      <c r="F28" s="34"/>
      <c r="G28" s="34"/>
      <c r="H28" s="163">
        <v>0.06</v>
      </c>
      <c r="I28" s="161">
        <v>266944.5066075272</v>
      </c>
      <c r="J28" s="162">
        <v>189711.16286912939</v>
      </c>
      <c r="K28" s="162">
        <v>160794.53478917707</v>
      </c>
      <c r="L28" s="162">
        <v>140125.01823027222</v>
      </c>
      <c r="M28" s="162">
        <v>122219.452897749</v>
      </c>
      <c r="N28" s="162">
        <v>112533.02196361916</v>
      </c>
      <c r="O28" s="162">
        <v>102861.9111021781</v>
      </c>
      <c r="P28" s="162">
        <v>94941.1911501797</v>
      </c>
      <c r="Q28" s="162">
        <v>88333.545897634089</v>
      </c>
      <c r="R28" s="162">
        <v>82736.204252523574</v>
      </c>
      <c r="S28" s="162">
        <v>77932.889217384392</v>
      </c>
    </row>
    <row r="29" spans="2:19" ht="15" thickBot="1" x14ac:dyDescent="0.35">
      <c r="B29" s="78" t="s">
        <v>307</v>
      </c>
      <c r="C29" s="63"/>
      <c r="D29" s="63"/>
      <c r="E29" s="132">
        <f>E25/(E26-E27)</f>
        <v>284267.51698558696</v>
      </c>
      <c r="F29" s="34"/>
      <c r="G29" s="34"/>
      <c r="H29" s="163">
        <v>7.0000000000000007E-2</v>
      </c>
      <c r="I29" s="161">
        <v>355037.91314733133</v>
      </c>
      <c r="J29" s="162">
        <v>224891.56000251899</v>
      </c>
      <c r="K29" s="162">
        <v>183320.41556392843</v>
      </c>
      <c r="L29" s="162">
        <v>155584.03441298832</v>
      </c>
      <c r="M29" s="162">
        <v>132769.42268584558</v>
      </c>
      <c r="N29" s="162">
        <v>120866.21341871838</v>
      </c>
      <c r="O29" s="162">
        <v>109273.72158075997</v>
      </c>
      <c r="P29" s="162">
        <v>99988.444150403433</v>
      </c>
      <c r="Q29" s="162">
        <v>92381.552142289001</v>
      </c>
      <c r="R29" s="162">
        <v>86033.806065914774</v>
      </c>
      <c r="S29" s="162">
        <v>80654.945763418204</v>
      </c>
    </row>
    <row r="30" spans="2:19" x14ac:dyDescent="0.3">
      <c r="B30" s="34"/>
      <c r="C30" s="34"/>
      <c r="D30" s="34"/>
      <c r="E30" s="34"/>
      <c r="F30" s="34"/>
      <c r="G30" s="34"/>
      <c r="H30" s="163">
        <v>0.08</v>
      </c>
      <c r="I30" s="161">
        <v>563889.93043395388</v>
      </c>
      <c r="J30" s="162">
        <v>283525.555224835</v>
      </c>
      <c r="K30" s="162">
        <v>217109.23672605539</v>
      </c>
      <c r="L30" s="162">
        <v>177226.65706879084</v>
      </c>
      <c r="M30" s="162">
        <v>146733.62217882776</v>
      </c>
      <c r="N30" s="162">
        <v>131580.31671813165</v>
      </c>
      <c r="O30" s="162">
        <v>117288.4846789873</v>
      </c>
      <c r="P30" s="162">
        <v>106157.30892845464</v>
      </c>
      <c r="Q30" s="162">
        <v>97239.159635874908</v>
      </c>
      <c r="R30" s="162">
        <v>89930.971845377091</v>
      </c>
      <c r="S30" s="162">
        <v>83830.678400457662</v>
      </c>
    </row>
    <row r="31" spans="2:19" x14ac:dyDescent="0.3">
      <c r="B31" s="34"/>
      <c r="C31" s="34"/>
      <c r="D31" s="34"/>
      <c r="E31" s="34"/>
      <c r="F31" s="34"/>
      <c r="G31" s="34"/>
      <c r="H31" s="157"/>
      <c r="I31" s="34"/>
    </row>
    <row r="32" spans="2:19" x14ac:dyDescent="0.3">
      <c r="B32" s="221" t="s">
        <v>308</v>
      </c>
      <c r="C32" s="221"/>
      <c r="D32" s="221"/>
      <c r="E32" s="221"/>
      <c r="F32" s="34"/>
      <c r="G32" s="34"/>
      <c r="H32" s="157"/>
      <c r="I32" s="34"/>
    </row>
    <row r="33" spans="2:9" x14ac:dyDescent="0.3">
      <c r="B33" s="34"/>
      <c r="C33" s="34"/>
      <c r="D33" s="34"/>
      <c r="E33" s="34"/>
      <c r="F33" s="34"/>
      <c r="G33" s="34"/>
      <c r="H33" s="157"/>
      <c r="I33" s="34"/>
    </row>
    <row r="34" spans="2:9" x14ac:dyDescent="0.3">
      <c r="B34" s="52" t="s">
        <v>300</v>
      </c>
      <c r="C34" s="34"/>
      <c r="D34" s="34"/>
      <c r="E34" s="127">
        <f>SUM(D17:I17)</f>
        <v>50323.052205437984</v>
      </c>
      <c r="F34" s="34"/>
      <c r="G34" s="34"/>
      <c r="H34" s="34"/>
      <c r="I34" s="34"/>
    </row>
    <row r="35" spans="2:9" x14ac:dyDescent="0.3">
      <c r="B35" s="52" t="s">
        <v>309</v>
      </c>
      <c r="C35" s="34"/>
      <c r="D35" s="34"/>
      <c r="E35" s="138">
        <f>E29*I15</f>
        <v>189278.0477936528</v>
      </c>
      <c r="F35" s="34"/>
      <c r="G35" s="34"/>
      <c r="H35" s="34"/>
      <c r="I35" s="34"/>
    </row>
    <row r="36" spans="2:9" x14ac:dyDescent="0.3">
      <c r="B36" s="75" t="s">
        <v>310</v>
      </c>
      <c r="C36" s="34"/>
      <c r="D36" s="34"/>
      <c r="E36" s="133">
        <f>SUM(E34:E35)</f>
        <v>239601.09999909077</v>
      </c>
      <c r="F36" s="34"/>
      <c r="G36" s="34"/>
      <c r="H36" s="34"/>
      <c r="I36" s="34"/>
    </row>
    <row r="37" spans="2:9" x14ac:dyDescent="0.3">
      <c r="B37" s="34"/>
      <c r="C37" s="34"/>
      <c r="D37" s="34"/>
      <c r="E37" s="34"/>
      <c r="F37" s="34"/>
      <c r="G37" s="34"/>
      <c r="H37" s="34"/>
      <c r="I37" s="34"/>
    </row>
    <row r="38" spans="2:9" x14ac:dyDescent="0.3">
      <c r="B38" s="52" t="s">
        <v>311</v>
      </c>
      <c r="C38" s="34"/>
      <c r="D38" s="34"/>
      <c r="E38" s="129">
        <f>'Data Sheet'!K69</f>
        <v>3248</v>
      </c>
      <c r="F38" s="34"/>
      <c r="G38" s="34"/>
      <c r="H38" s="34"/>
      <c r="I38" s="34"/>
    </row>
    <row r="39" spans="2:9" x14ac:dyDescent="0.3">
      <c r="B39" s="52" t="s">
        <v>312</v>
      </c>
      <c r="C39" s="34"/>
      <c r="D39" s="34"/>
      <c r="E39" s="138">
        <f>SUM('Data - Raw FS'!N7:N8)</f>
        <v>0</v>
      </c>
      <c r="F39" s="34"/>
      <c r="G39" s="34"/>
      <c r="H39" s="34"/>
      <c r="I39" s="34"/>
    </row>
    <row r="40" spans="2:9" x14ac:dyDescent="0.3">
      <c r="B40" s="75" t="s">
        <v>313</v>
      </c>
      <c r="C40" s="34"/>
      <c r="D40" s="34"/>
      <c r="E40" s="133">
        <f>E36+E38-E39</f>
        <v>242849.09999909077</v>
      </c>
      <c r="F40" s="34"/>
      <c r="G40" s="34"/>
      <c r="H40" s="34"/>
      <c r="I40" s="34"/>
    </row>
    <row r="41" spans="2:9" x14ac:dyDescent="0.3">
      <c r="B41" s="52" t="s">
        <v>314</v>
      </c>
      <c r="C41" s="34"/>
      <c r="D41" s="34"/>
      <c r="E41" s="139">
        <f>'Data Sheet'!B6</f>
        <v>234.95912600076247</v>
      </c>
      <c r="F41" s="34"/>
      <c r="G41" s="34"/>
      <c r="H41" s="34"/>
      <c r="I41" s="34"/>
    </row>
    <row r="42" spans="2:9" x14ac:dyDescent="0.3">
      <c r="B42" s="52" t="s">
        <v>315</v>
      </c>
      <c r="C42" s="34"/>
      <c r="D42" s="34"/>
      <c r="E42" s="139">
        <f>E40/E41</f>
        <v>1033.5801981077454</v>
      </c>
      <c r="F42" s="34"/>
      <c r="G42" s="34"/>
      <c r="H42" s="34"/>
      <c r="I42" s="34"/>
    </row>
    <row r="44" spans="2:9" x14ac:dyDescent="0.3">
      <c r="B44" s="52" t="s">
        <v>318</v>
      </c>
      <c r="E44" s="139">
        <v>2144</v>
      </c>
      <c r="F44" t="s">
        <v>16</v>
      </c>
    </row>
    <row r="45" spans="2:9" x14ac:dyDescent="0.3">
      <c r="B45" s="52" t="s">
        <v>319</v>
      </c>
      <c r="E45" s="8">
        <f>E44/E42-1</f>
        <v>1.0743431462069273</v>
      </c>
    </row>
  </sheetData>
  <mergeCells count="1">
    <mergeCell ref="B32:E32"/>
  </mergeCells>
  <pageMargins left="0.7" right="0.7" top="0.75" bottom="0.75" header="0.3" footer="0.3"/>
  <ignoredErrors>
    <ignoredError sqref="E39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78A17-B391-4539-B1BB-9681DE8ECAB2}">
  <dimension ref="B2:N75"/>
  <sheetViews>
    <sheetView showGridLines="0" workbookViewId="0">
      <selection activeCell="B2" sqref="B2:N2"/>
    </sheetView>
  </sheetViews>
  <sheetFormatPr defaultRowHeight="14.4" x14ac:dyDescent="0.3"/>
  <cols>
    <col min="1" max="1" width="2.33203125" customWidth="1"/>
    <col min="2" max="2" width="34.6640625" customWidth="1"/>
    <col min="3" max="14" width="10.33203125" bestFit="1" customWidth="1"/>
  </cols>
  <sheetData>
    <row r="2" spans="2:14" x14ac:dyDescent="0.3">
      <c r="B2" s="212" t="s">
        <v>127</v>
      </c>
      <c r="C2" s="217">
        <v>42064</v>
      </c>
      <c r="D2" s="217">
        <v>42430</v>
      </c>
      <c r="E2" s="217">
        <v>42795</v>
      </c>
      <c r="F2" s="217">
        <v>43160</v>
      </c>
      <c r="G2" s="217">
        <v>43525</v>
      </c>
      <c r="H2" s="217">
        <v>43891</v>
      </c>
      <c r="I2" s="217">
        <v>44256</v>
      </c>
      <c r="J2" s="217">
        <v>44621</v>
      </c>
      <c r="K2" s="217">
        <v>44986</v>
      </c>
      <c r="L2" s="217">
        <v>45352</v>
      </c>
      <c r="M2" s="217">
        <v>45717</v>
      </c>
      <c r="N2" s="217">
        <v>46082</v>
      </c>
    </row>
    <row r="3" spans="2:14" x14ac:dyDescent="0.3">
      <c r="B3" s="59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</row>
    <row r="4" spans="2:14" x14ac:dyDescent="0.3">
      <c r="B4" s="21" t="s">
        <v>96</v>
      </c>
      <c r="C4" s="65">
        <v>216</v>
      </c>
      <c r="D4" s="65">
        <v>216</v>
      </c>
      <c r="E4" s="65">
        <v>216</v>
      </c>
      <c r="F4" s="65">
        <v>216</v>
      </c>
      <c r="G4" s="65">
        <v>216</v>
      </c>
      <c r="H4" s="65">
        <v>216</v>
      </c>
      <c r="I4" s="65">
        <v>235</v>
      </c>
      <c r="J4" s="65">
        <v>235</v>
      </c>
      <c r="K4" s="65">
        <v>235</v>
      </c>
      <c r="L4" s="65">
        <v>235</v>
      </c>
      <c r="M4" s="65">
        <v>235</v>
      </c>
      <c r="N4" s="65">
        <v>235</v>
      </c>
    </row>
    <row r="5" spans="2:14" x14ac:dyDescent="0.3">
      <c r="B5" s="21" t="s">
        <v>97</v>
      </c>
      <c r="C5" s="66">
        <v>3811</v>
      </c>
      <c r="D5" s="66">
        <v>6357</v>
      </c>
      <c r="E5" s="66">
        <v>6528</v>
      </c>
      <c r="F5" s="66">
        <v>7065</v>
      </c>
      <c r="G5" s="66">
        <v>7651</v>
      </c>
      <c r="H5" s="66">
        <v>8013</v>
      </c>
      <c r="I5" s="66">
        <v>47439</v>
      </c>
      <c r="J5" s="66">
        <v>48826</v>
      </c>
      <c r="K5" s="66">
        <v>50069</v>
      </c>
      <c r="L5" s="66">
        <v>50983</v>
      </c>
      <c r="M5" s="66">
        <v>49167</v>
      </c>
      <c r="N5" s="66">
        <v>48504</v>
      </c>
    </row>
    <row r="6" spans="2:14" x14ac:dyDescent="0.3">
      <c r="B6" s="21" t="s">
        <v>123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</row>
    <row r="7" spans="2:14" x14ac:dyDescent="0.3">
      <c r="B7" t="s">
        <v>98</v>
      </c>
      <c r="C7" s="68">
        <v>7</v>
      </c>
      <c r="D7" s="68">
        <v>0</v>
      </c>
      <c r="E7" s="68">
        <v>0</v>
      </c>
      <c r="F7" s="68">
        <v>0</v>
      </c>
      <c r="G7" s="68">
        <v>0</v>
      </c>
      <c r="H7" s="68">
        <v>0</v>
      </c>
      <c r="I7" s="68">
        <v>0</v>
      </c>
      <c r="J7" s="68">
        <v>0</v>
      </c>
      <c r="K7" s="68">
        <v>0</v>
      </c>
      <c r="L7" s="68">
        <v>0</v>
      </c>
      <c r="M7" s="68">
        <v>0</v>
      </c>
      <c r="N7" s="68">
        <v>0</v>
      </c>
    </row>
    <row r="8" spans="2:14" x14ac:dyDescent="0.3">
      <c r="B8" t="s">
        <v>99</v>
      </c>
      <c r="C8" s="68">
        <v>36</v>
      </c>
      <c r="D8" s="68">
        <v>177</v>
      </c>
      <c r="E8" s="68">
        <v>277</v>
      </c>
      <c r="F8" s="68">
        <v>0</v>
      </c>
      <c r="G8" s="68">
        <v>99</v>
      </c>
      <c r="H8" s="68">
        <v>0</v>
      </c>
      <c r="I8" s="68">
        <v>0</v>
      </c>
      <c r="J8" s="68">
        <v>0</v>
      </c>
      <c r="K8" s="68">
        <v>98</v>
      </c>
      <c r="L8" s="68">
        <v>13</v>
      </c>
      <c r="M8" s="68">
        <v>1</v>
      </c>
      <c r="N8" s="68">
        <v>0</v>
      </c>
    </row>
    <row r="9" spans="2:14" x14ac:dyDescent="0.3">
      <c r="B9" t="s">
        <v>100</v>
      </c>
      <c r="C9" s="68">
        <v>0</v>
      </c>
      <c r="D9" s="68">
        <v>0</v>
      </c>
      <c r="E9" s="68">
        <v>0</v>
      </c>
      <c r="F9" s="68">
        <v>0</v>
      </c>
      <c r="G9" s="68">
        <v>0</v>
      </c>
      <c r="H9" s="68">
        <v>0</v>
      </c>
      <c r="I9" s="68">
        <v>0</v>
      </c>
      <c r="J9" s="68">
        <v>1043</v>
      </c>
      <c r="K9" s="68">
        <v>1121</v>
      </c>
      <c r="L9" s="68">
        <v>1471</v>
      </c>
      <c r="M9" s="68">
        <v>1647</v>
      </c>
      <c r="N9" s="68">
        <v>1478</v>
      </c>
    </row>
    <row r="10" spans="2:14" x14ac:dyDescent="0.3">
      <c r="B10" s="21" t="s">
        <v>124</v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</row>
    <row r="11" spans="2:14" x14ac:dyDescent="0.3">
      <c r="B11" t="s">
        <v>101</v>
      </c>
      <c r="C11" s="68">
        <v>25</v>
      </c>
      <c r="D11" s="68">
        <v>20</v>
      </c>
      <c r="E11" s="68">
        <v>22</v>
      </c>
      <c r="F11" s="68">
        <v>20</v>
      </c>
      <c r="G11" s="68">
        <v>18</v>
      </c>
      <c r="H11" s="68">
        <v>17</v>
      </c>
      <c r="I11" s="68">
        <v>20</v>
      </c>
      <c r="J11" s="68">
        <v>26</v>
      </c>
      <c r="K11" s="68">
        <v>218</v>
      </c>
      <c r="L11" s="68">
        <v>205</v>
      </c>
      <c r="M11" s="68">
        <v>207</v>
      </c>
      <c r="N11" s="68">
        <v>269</v>
      </c>
    </row>
    <row r="12" spans="2:14" x14ac:dyDescent="0.3">
      <c r="B12" t="s">
        <v>377</v>
      </c>
      <c r="C12" s="68">
        <v>45</v>
      </c>
      <c r="D12" s="68">
        <v>45</v>
      </c>
      <c r="E12" s="68">
        <v>78</v>
      </c>
      <c r="F12" s="68">
        <v>62</v>
      </c>
      <c r="G12" s="68">
        <v>43</v>
      </c>
      <c r="H12" s="68">
        <v>158</v>
      </c>
      <c r="I12" s="68">
        <v>96</v>
      </c>
      <c r="J12" s="68">
        <v>119</v>
      </c>
      <c r="K12" s="68">
        <v>98</v>
      </c>
      <c r="L12" s="68">
        <v>91</v>
      </c>
      <c r="M12" s="68">
        <v>0</v>
      </c>
      <c r="N12" s="68">
        <v>0</v>
      </c>
    </row>
    <row r="13" spans="2:14" x14ac:dyDescent="0.3">
      <c r="B13" t="s">
        <v>102</v>
      </c>
      <c r="C13" s="68">
        <v>5506</v>
      </c>
      <c r="D13" s="68">
        <v>5685</v>
      </c>
      <c r="E13" s="68">
        <v>6186</v>
      </c>
      <c r="F13" s="68">
        <v>7170</v>
      </c>
      <c r="G13" s="68">
        <v>7206</v>
      </c>
      <c r="H13" s="68">
        <v>7535</v>
      </c>
      <c r="I13" s="68">
        <v>8802</v>
      </c>
      <c r="J13" s="68">
        <v>9068</v>
      </c>
      <c r="K13" s="68">
        <v>9574</v>
      </c>
      <c r="L13" s="68">
        <v>10486</v>
      </c>
      <c r="M13" s="68">
        <v>11315</v>
      </c>
      <c r="N13" s="68">
        <v>13325</v>
      </c>
    </row>
    <row r="14" spans="2:14" x14ac:dyDescent="0.3">
      <c r="B14" t="s">
        <v>103</v>
      </c>
      <c r="C14" s="69">
        <v>4783</v>
      </c>
      <c r="D14" s="69">
        <v>2293</v>
      </c>
      <c r="E14" s="69">
        <v>2399</v>
      </c>
      <c r="F14" s="69">
        <v>3329</v>
      </c>
      <c r="G14" s="69">
        <v>3396</v>
      </c>
      <c r="H14" s="69">
        <v>4214</v>
      </c>
      <c r="I14" s="69">
        <v>12148</v>
      </c>
      <c r="J14" s="69">
        <v>11189</v>
      </c>
      <c r="K14" s="69">
        <v>11664</v>
      </c>
      <c r="L14" s="69">
        <v>15005</v>
      </c>
      <c r="M14" s="69">
        <v>17291</v>
      </c>
      <c r="N14" s="69">
        <v>15927</v>
      </c>
    </row>
    <row r="15" spans="2:14" x14ac:dyDescent="0.3">
      <c r="B15" s="60" t="s">
        <v>104</v>
      </c>
      <c r="C15" s="70">
        <v>14430</v>
      </c>
      <c r="D15" s="70">
        <v>14793</v>
      </c>
      <c r="E15" s="70">
        <v>15706</v>
      </c>
      <c r="F15" s="70">
        <v>17862</v>
      </c>
      <c r="G15" s="70">
        <v>18629</v>
      </c>
      <c r="H15" s="70">
        <v>20153</v>
      </c>
      <c r="I15" s="70">
        <v>68740</v>
      </c>
      <c r="J15" s="70">
        <v>70506</v>
      </c>
      <c r="K15" s="70">
        <v>73077</v>
      </c>
      <c r="L15" s="70">
        <v>78489</v>
      </c>
      <c r="M15" s="70">
        <v>79863</v>
      </c>
      <c r="N15" s="70">
        <v>79738</v>
      </c>
    </row>
    <row r="16" spans="2:14" x14ac:dyDescent="0.3">
      <c r="B16" s="21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</row>
    <row r="17" spans="2:14" x14ac:dyDescent="0.3">
      <c r="B17" s="21" t="s">
        <v>125</v>
      </c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</row>
    <row r="18" spans="2:14" x14ac:dyDescent="0.3">
      <c r="B18" t="s">
        <v>105</v>
      </c>
      <c r="C18" s="66">
        <v>102</v>
      </c>
      <c r="D18" s="66">
        <v>88</v>
      </c>
      <c r="E18" s="66">
        <v>89</v>
      </c>
      <c r="F18" s="66">
        <v>87</v>
      </c>
      <c r="G18" s="66">
        <v>86</v>
      </c>
      <c r="H18" s="66">
        <v>59</v>
      </c>
      <c r="I18" s="66">
        <v>477</v>
      </c>
      <c r="J18" s="66">
        <v>477</v>
      </c>
      <c r="K18" s="66">
        <v>609</v>
      </c>
      <c r="L18" s="66">
        <v>633</v>
      </c>
      <c r="M18" s="66">
        <v>628</v>
      </c>
      <c r="N18" s="66">
        <v>636</v>
      </c>
    </row>
    <row r="19" spans="2:14" x14ac:dyDescent="0.3">
      <c r="B19" t="s">
        <v>106</v>
      </c>
      <c r="C19" s="68">
        <v>1173</v>
      </c>
      <c r="D19" s="68">
        <v>931</v>
      </c>
      <c r="E19" s="68">
        <v>1210</v>
      </c>
      <c r="F19" s="68">
        <v>1343</v>
      </c>
      <c r="G19" s="68">
        <v>1527</v>
      </c>
      <c r="H19" s="68">
        <v>2044</v>
      </c>
      <c r="I19" s="68">
        <v>2602</v>
      </c>
      <c r="J19" s="68">
        <v>2788</v>
      </c>
      <c r="K19" s="68">
        <v>3101</v>
      </c>
      <c r="L19" s="68">
        <v>3590</v>
      </c>
      <c r="M19" s="68">
        <v>3833</v>
      </c>
      <c r="N19" s="68">
        <v>4067</v>
      </c>
    </row>
    <row r="20" spans="2:14" x14ac:dyDescent="0.3">
      <c r="B20" t="s">
        <v>107</v>
      </c>
      <c r="C20" s="68">
        <v>3481</v>
      </c>
      <c r="D20" s="68">
        <v>2370</v>
      </c>
      <c r="E20" s="68">
        <v>3270</v>
      </c>
      <c r="F20" s="68">
        <v>3691</v>
      </c>
      <c r="G20" s="68">
        <v>4092</v>
      </c>
      <c r="H20" s="68">
        <v>5001</v>
      </c>
      <c r="I20" s="68">
        <v>6097</v>
      </c>
      <c r="J20" s="68">
        <v>6566</v>
      </c>
      <c r="K20" s="68">
        <v>7612</v>
      </c>
      <c r="L20" s="68">
        <v>8946</v>
      </c>
      <c r="M20" s="68">
        <v>9900</v>
      </c>
      <c r="N20" s="68">
        <v>9296</v>
      </c>
    </row>
    <row r="21" spans="2:14" x14ac:dyDescent="0.3">
      <c r="B21" t="s">
        <v>108</v>
      </c>
      <c r="C21" s="68">
        <v>106</v>
      </c>
      <c r="D21" s="68">
        <v>41</v>
      </c>
      <c r="E21" s="68">
        <v>62</v>
      </c>
      <c r="F21" s="68">
        <v>74</v>
      </c>
      <c r="G21" s="68">
        <v>95</v>
      </c>
      <c r="H21" s="68">
        <v>139</v>
      </c>
      <c r="I21" s="68">
        <v>175</v>
      </c>
      <c r="J21" s="68">
        <v>181</v>
      </c>
      <c r="K21" s="68">
        <v>185</v>
      </c>
      <c r="L21" s="68">
        <v>206</v>
      </c>
      <c r="M21" s="68">
        <v>245</v>
      </c>
      <c r="N21" s="68">
        <v>286</v>
      </c>
    </row>
    <row r="22" spans="2:14" x14ac:dyDescent="0.3">
      <c r="B22" t="s">
        <v>109</v>
      </c>
      <c r="C22" s="68">
        <v>108</v>
      </c>
      <c r="D22" s="68">
        <v>61</v>
      </c>
      <c r="E22" s="68">
        <v>66</v>
      </c>
      <c r="F22" s="68">
        <v>76</v>
      </c>
      <c r="G22" s="68">
        <v>88</v>
      </c>
      <c r="H22" s="68">
        <v>154</v>
      </c>
      <c r="I22" s="68">
        <v>156</v>
      </c>
      <c r="J22" s="68">
        <v>152</v>
      </c>
      <c r="K22" s="68">
        <v>161</v>
      </c>
      <c r="L22" s="68">
        <v>165</v>
      </c>
      <c r="M22" s="68">
        <v>174</v>
      </c>
      <c r="N22" s="68">
        <v>220</v>
      </c>
    </row>
    <row r="23" spans="2:14" x14ac:dyDescent="0.3">
      <c r="B23" t="s">
        <v>110</v>
      </c>
      <c r="C23" s="68">
        <v>0</v>
      </c>
      <c r="D23" s="68">
        <v>0</v>
      </c>
      <c r="E23" s="68">
        <v>0</v>
      </c>
      <c r="F23" s="68">
        <v>0</v>
      </c>
      <c r="G23" s="68">
        <v>0</v>
      </c>
      <c r="H23" s="68">
        <v>0</v>
      </c>
      <c r="I23" s="68">
        <v>0</v>
      </c>
      <c r="J23" s="68">
        <v>0</v>
      </c>
      <c r="K23" s="68">
        <v>0</v>
      </c>
      <c r="L23" s="68">
        <v>0</v>
      </c>
      <c r="M23" s="68">
        <v>0</v>
      </c>
      <c r="N23" s="68">
        <v>0</v>
      </c>
    </row>
    <row r="24" spans="2:14" x14ac:dyDescent="0.3">
      <c r="B24" t="s">
        <v>111</v>
      </c>
      <c r="C24" s="68">
        <v>1</v>
      </c>
      <c r="D24" s="68">
        <v>0</v>
      </c>
      <c r="E24" s="68">
        <v>0</v>
      </c>
      <c r="F24" s="68">
        <v>0</v>
      </c>
      <c r="G24" s="68">
        <v>0</v>
      </c>
      <c r="H24" s="68">
        <v>0</v>
      </c>
      <c r="I24" s="68">
        <v>0</v>
      </c>
      <c r="J24" s="68">
        <v>0</v>
      </c>
      <c r="K24" s="68">
        <v>33</v>
      </c>
      <c r="L24" s="68">
        <v>39</v>
      </c>
      <c r="M24" s="68">
        <v>102</v>
      </c>
      <c r="N24" s="68">
        <v>103</v>
      </c>
    </row>
    <row r="25" spans="2:14" x14ac:dyDescent="0.3">
      <c r="B25" t="s">
        <v>112</v>
      </c>
      <c r="C25" s="68">
        <v>247</v>
      </c>
      <c r="D25" s="68">
        <v>85</v>
      </c>
      <c r="E25" s="68">
        <v>455</v>
      </c>
      <c r="F25" s="68">
        <v>455</v>
      </c>
      <c r="G25" s="68">
        <v>511</v>
      </c>
      <c r="H25" s="68">
        <v>511</v>
      </c>
      <c r="I25" s="68">
        <v>45262</v>
      </c>
      <c r="J25" s="68">
        <v>45262</v>
      </c>
      <c r="K25" s="68">
        <v>45692</v>
      </c>
      <c r="L25" s="68">
        <v>45692</v>
      </c>
      <c r="M25" s="68">
        <v>45692</v>
      </c>
      <c r="N25" s="68">
        <v>49195</v>
      </c>
    </row>
    <row r="26" spans="2:14" x14ac:dyDescent="0.3">
      <c r="B26" t="s">
        <v>113</v>
      </c>
      <c r="C26" s="66">
        <v>193</v>
      </c>
      <c r="D26" s="66">
        <v>19</v>
      </c>
      <c r="E26" s="66">
        <v>19</v>
      </c>
      <c r="F26" s="66">
        <v>26</v>
      </c>
      <c r="G26" s="66">
        <v>60</v>
      </c>
      <c r="H26" s="66">
        <v>71</v>
      </c>
      <c r="I26" s="66">
        <v>155</v>
      </c>
      <c r="J26" s="66">
        <v>152</v>
      </c>
      <c r="K26" s="66">
        <v>171</v>
      </c>
      <c r="L26" s="66">
        <v>180</v>
      </c>
      <c r="M26" s="66">
        <v>190</v>
      </c>
      <c r="N26" s="66">
        <v>210</v>
      </c>
    </row>
    <row r="27" spans="2:14" x14ac:dyDescent="0.3">
      <c r="B27" s="21" t="s">
        <v>114</v>
      </c>
      <c r="C27" s="69">
        <v>5412</v>
      </c>
      <c r="D27" s="69">
        <v>3595</v>
      </c>
      <c r="E27" s="69">
        <v>5171</v>
      </c>
      <c r="F27" s="69">
        <v>5752</v>
      </c>
      <c r="G27" s="69">
        <v>6459</v>
      </c>
      <c r="H27" s="69">
        <v>7979</v>
      </c>
      <c r="I27" s="69">
        <v>54924</v>
      </c>
      <c r="J27" s="69">
        <v>55578</v>
      </c>
      <c r="K27" s="69">
        <v>57564</v>
      </c>
      <c r="L27" s="69">
        <v>59451</v>
      </c>
      <c r="M27" s="69">
        <v>60764</v>
      </c>
      <c r="N27" s="69">
        <v>64013</v>
      </c>
    </row>
    <row r="28" spans="2:14" x14ac:dyDescent="0.3">
      <c r="B28" s="13" t="s">
        <v>115</v>
      </c>
      <c r="C28" s="71">
        <v>2591</v>
      </c>
      <c r="D28" s="71">
        <v>337</v>
      </c>
      <c r="E28" s="71">
        <v>752</v>
      </c>
      <c r="F28" s="71">
        <v>1224</v>
      </c>
      <c r="G28" s="71">
        <v>1744</v>
      </c>
      <c r="H28" s="71">
        <v>2500</v>
      </c>
      <c r="I28" s="71">
        <v>3481</v>
      </c>
      <c r="J28" s="71">
        <v>4105</v>
      </c>
      <c r="K28" s="71">
        <v>4886</v>
      </c>
      <c r="L28" s="71">
        <v>5707</v>
      </c>
      <c r="M28" s="71">
        <v>6429</v>
      </c>
      <c r="N28" s="71">
        <v>6585</v>
      </c>
    </row>
    <row r="29" spans="2:14" x14ac:dyDescent="0.3">
      <c r="B29" s="21" t="s">
        <v>128</v>
      </c>
      <c r="C29" s="69">
        <f>C27-C28</f>
        <v>2821</v>
      </c>
      <c r="D29" s="69">
        <f>D27-D28</f>
        <v>3258</v>
      </c>
      <c r="E29" s="69">
        <f t="shared" ref="E29:N29" si="0">E27-E28</f>
        <v>4419</v>
      </c>
      <c r="F29" s="69">
        <f t="shared" si="0"/>
        <v>4528</v>
      </c>
      <c r="G29" s="69">
        <f t="shared" si="0"/>
        <v>4715</v>
      </c>
      <c r="H29" s="69">
        <f t="shared" si="0"/>
        <v>5479</v>
      </c>
      <c r="I29" s="69">
        <f t="shared" si="0"/>
        <v>51443</v>
      </c>
      <c r="J29" s="69">
        <f t="shared" si="0"/>
        <v>51473</v>
      </c>
      <c r="K29" s="69">
        <f t="shared" si="0"/>
        <v>52678</v>
      </c>
      <c r="L29" s="69">
        <f t="shared" si="0"/>
        <v>53744</v>
      </c>
      <c r="M29" s="69">
        <f t="shared" si="0"/>
        <v>54335</v>
      </c>
      <c r="N29" s="69">
        <f t="shared" si="0"/>
        <v>57428</v>
      </c>
    </row>
    <row r="30" spans="2:14" x14ac:dyDescent="0.3">
      <c r="B30" s="21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</row>
    <row r="31" spans="2:14" x14ac:dyDescent="0.3">
      <c r="B31" s="21" t="s">
        <v>116</v>
      </c>
      <c r="C31" s="72">
        <v>516</v>
      </c>
      <c r="D31" s="72">
        <v>408</v>
      </c>
      <c r="E31" s="72">
        <v>229</v>
      </c>
      <c r="F31" s="72">
        <v>461</v>
      </c>
      <c r="G31" s="72">
        <v>406</v>
      </c>
      <c r="H31" s="72">
        <v>597</v>
      </c>
      <c r="I31" s="72">
        <v>745</v>
      </c>
      <c r="J31" s="72">
        <v>1313</v>
      </c>
      <c r="K31" s="72">
        <v>1132</v>
      </c>
      <c r="L31" s="72">
        <v>1025</v>
      </c>
      <c r="M31" s="72">
        <v>1009</v>
      </c>
      <c r="N31" s="72">
        <v>880</v>
      </c>
    </row>
    <row r="32" spans="2:14" x14ac:dyDescent="0.3">
      <c r="B32" s="21" t="s">
        <v>117</v>
      </c>
      <c r="C32" s="72">
        <v>3025</v>
      </c>
      <c r="D32" s="72">
        <v>2592</v>
      </c>
      <c r="E32" s="72">
        <v>3794</v>
      </c>
      <c r="F32" s="72">
        <v>2873</v>
      </c>
      <c r="G32" s="72">
        <v>2716</v>
      </c>
      <c r="H32" s="72">
        <v>1255</v>
      </c>
      <c r="I32" s="72">
        <v>2709</v>
      </c>
      <c r="J32" s="72">
        <v>3521</v>
      </c>
      <c r="K32" s="72">
        <v>2882</v>
      </c>
      <c r="L32" s="72">
        <v>4625</v>
      </c>
      <c r="M32" s="72">
        <v>3810</v>
      </c>
      <c r="N32" s="72">
        <v>4359</v>
      </c>
    </row>
    <row r="33" spans="2:14" x14ac:dyDescent="0.3"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</row>
    <row r="34" spans="2:14" x14ac:dyDescent="0.3">
      <c r="B34" s="21" t="s">
        <v>126</v>
      </c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</row>
    <row r="35" spans="2:14" x14ac:dyDescent="0.3">
      <c r="B35" t="s">
        <v>118</v>
      </c>
      <c r="C35" s="68">
        <v>2849</v>
      </c>
      <c r="D35" s="68">
        <v>2726</v>
      </c>
      <c r="E35" s="68">
        <v>2541</v>
      </c>
      <c r="F35" s="68">
        <v>2513</v>
      </c>
      <c r="G35" s="68">
        <v>2574</v>
      </c>
      <c r="H35" s="68">
        <v>2767</v>
      </c>
      <c r="I35" s="68">
        <v>3579</v>
      </c>
      <c r="J35" s="68">
        <v>4096</v>
      </c>
      <c r="K35" s="68">
        <v>4251</v>
      </c>
      <c r="L35" s="68">
        <v>4022</v>
      </c>
      <c r="M35" s="68">
        <v>4415</v>
      </c>
      <c r="N35" s="68">
        <v>4789</v>
      </c>
    </row>
    <row r="36" spans="2:14" x14ac:dyDescent="0.3">
      <c r="B36" t="s">
        <v>119</v>
      </c>
      <c r="C36" s="68">
        <v>1010</v>
      </c>
      <c r="D36" s="68">
        <v>1264</v>
      </c>
      <c r="E36" s="68">
        <v>1085</v>
      </c>
      <c r="F36" s="68">
        <v>1310</v>
      </c>
      <c r="G36" s="68">
        <v>1816</v>
      </c>
      <c r="H36" s="68">
        <v>1149</v>
      </c>
      <c r="I36" s="68">
        <v>1758</v>
      </c>
      <c r="J36" s="68">
        <v>2236</v>
      </c>
      <c r="K36" s="68">
        <v>3079</v>
      </c>
      <c r="L36" s="68">
        <v>2997</v>
      </c>
      <c r="M36" s="68">
        <v>3819</v>
      </c>
      <c r="N36" s="68">
        <v>3379</v>
      </c>
    </row>
    <row r="37" spans="2:14" x14ac:dyDescent="0.3">
      <c r="B37" t="s">
        <v>120</v>
      </c>
      <c r="C37" s="68">
        <v>2689</v>
      </c>
      <c r="D37" s="68">
        <v>3009</v>
      </c>
      <c r="E37" s="68">
        <v>1828</v>
      </c>
      <c r="F37" s="68">
        <v>3485</v>
      </c>
      <c r="G37" s="68">
        <v>3757</v>
      </c>
      <c r="H37" s="68">
        <v>5113</v>
      </c>
      <c r="I37" s="68">
        <v>4471</v>
      </c>
      <c r="J37" s="68">
        <v>3846</v>
      </c>
      <c r="K37" s="68">
        <v>4678</v>
      </c>
      <c r="L37" s="68">
        <v>7559</v>
      </c>
      <c r="M37" s="68">
        <v>7554</v>
      </c>
      <c r="N37" s="68">
        <v>3248</v>
      </c>
    </row>
    <row r="38" spans="2:14" x14ac:dyDescent="0.3">
      <c r="B38" t="s">
        <v>129</v>
      </c>
      <c r="C38" s="68">
        <v>0</v>
      </c>
      <c r="D38" s="68">
        <v>0</v>
      </c>
      <c r="E38" s="68">
        <v>71</v>
      </c>
      <c r="F38" s="68">
        <v>40</v>
      </c>
      <c r="G38" s="68">
        <v>26</v>
      </c>
      <c r="H38" s="68">
        <v>19</v>
      </c>
      <c r="I38" s="68">
        <v>78</v>
      </c>
      <c r="J38" s="68">
        <v>170</v>
      </c>
      <c r="K38" s="68">
        <v>188</v>
      </c>
      <c r="L38" s="68">
        <v>172</v>
      </c>
      <c r="M38" s="68">
        <v>619</v>
      </c>
      <c r="N38" s="68">
        <v>1024</v>
      </c>
    </row>
    <row r="39" spans="2:14" x14ac:dyDescent="0.3">
      <c r="B39" t="s">
        <v>121</v>
      </c>
      <c r="C39" s="69">
        <v>1519</v>
      </c>
      <c r="D39" s="69">
        <v>1536</v>
      </c>
      <c r="E39" s="69">
        <v>1739</v>
      </c>
      <c r="F39" s="69">
        <v>2652</v>
      </c>
      <c r="G39" s="69">
        <v>2619</v>
      </c>
      <c r="H39" s="69">
        <v>3774</v>
      </c>
      <c r="I39" s="69">
        <v>3957</v>
      </c>
      <c r="J39" s="69">
        <v>3851</v>
      </c>
      <c r="K39" s="69">
        <v>4189</v>
      </c>
      <c r="L39" s="69">
        <v>4345</v>
      </c>
      <c r="M39" s="69">
        <v>4302</v>
      </c>
      <c r="N39" s="69">
        <v>4631</v>
      </c>
    </row>
    <row r="40" spans="2:14" x14ac:dyDescent="0.3">
      <c r="B40" s="60" t="s">
        <v>122</v>
      </c>
      <c r="C40" s="70">
        <v>14430</v>
      </c>
      <c r="D40" s="70">
        <v>14793</v>
      </c>
      <c r="E40" s="70">
        <v>15706</v>
      </c>
      <c r="F40" s="70">
        <v>17862</v>
      </c>
      <c r="G40" s="70">
        <v>18629</v>
      </c>
      <c r="H40" s="70">
        <v>20153</v>
      </c>
      <c r="I40" s="70">
        <v>68740</v>
      </c>
      <c r="J40" s="70">
        <v>70506</v>
      </c>
      <c r="K40" s="70">
        <v>73077</v>
      </c>
      <c r="L40" s="70">
        <v>78489</v>
      </c>
      <c r="M40" s="70">
        <v>79863</v>
      </c>
      <c r="N40" s="70">
        <v>79738</v>
      </c>
    </row>
    <row r="43" spans="2:14" x14ac:dyDescent="0.3">
      <c r="B43" t="s">
        <v>201</v>
      </c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</row>
    <row r="44" spans="2:14" x14ac:dyDescent="0.3">
      <c r="B44" t="s">
        <v>202</v>
      </c>
      <c r="C44" s="167">
        <v>5510</v>
      </c>
      <c r="D44" s="167">
        <v>6025</v>
      </c>
      <c r="E44" s="167">
        <v>6512</v>
      </c>
      <c r="F44" s="167">
        <v>7485</v>
      </c>
      <c r="G44" s="167">
        <v>8909</v>
      </c>
      <c r="H44" s="167">
        <v>9723</v>
      </c>
      <c r="I44" s="167">
        <v>11672</v>
      </c>
      <c r="J44" s="167">
        <v>12829</v>
      </c>
      <c r="K44" s="167">
        <v>14089</v>
      </c>
      <c r="L44" s="167">
        <v>14537</v>
      </c>
      <c r="M44" s="167">
        <v>14942</v>
      </c>
      <c r="N44" s="167">
        <v>15153</v>
      </c>
    </row>
    <row r="45" spans="2:14" x14ac:dyDescent="0.3">
      <c r="B45" t="s">
        <v>187</v>
      </c>
      <c r="C45">
        <v>3</v>
      </c>
      <c r="D45">
        <v>-257</v>
      </c>
      <c r="E45">
        <v>173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2:14" x14ac:dyDescent="0.3">
      <c r="B46" t="s">
        <v>188</v>
      </c>
      <c r="C46">
        <v>91</v>
      </c>
      <c r="D46">
        <v>89</v>
      </c>
      <c r="E46">
        <v>37</v>
      </c>
      <c r="F46">
        <v>-146</v>
      </c>
      <c r="G46">
        <v>-195</v>
      </c>
      <c r="H46">
        <v>-331</v>
      </c>
      <c r="I46">
        <v>-543</v>
      </c>
      <c r="J46">
        <v>-758</v>
      </c>
      <c r="K46">
        <v>-339</v>
      </c>
      <c r="L46">
        <v>74</v>
      </c>
      <c r="M46">
        <v>-584</v>
      </c>
      <c r="N46">
        <v>-692</v>
      </c>
    </row>
    <row r="47" spans="2:14" x14ac:dyDescent="0.3">
      <c r="B47" t="s">
        <v>203</v>
      </c>
      <c r="C47">
        <v>-327</v>
      </c>
      <c r="D47">
        <v>164</v>
      </c>
      <c r="E47">
        <v>501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2:14" x14ac:dyDescent="0.3">
      <c r="B48" t="s">
        <v>204</v>
      </c>
      <c r="C48">
        <v>-148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2:14" x14ac:dyDescent="0.3">
      <c r="B49" t="s">
        <v>205</v>
      </c>
      <c r="C49">
        <v>0</v>
      </c>
      <c r="D49">
        <v>0</v>
      </c>
      <c r="E49">
        <v>-46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2:14" x14ac:dyDescent="0.3">
      <c r="B50" t="s">
        <v>206</v>
      </c>
      <c r="C50">
        <v>38</v>
      </c>
      <c r="D50">
        <v>-77</v>
      </c>
      <c r="E50">
        <v>-99</v>
      </c>
      <c r="F50">
        <v>982</v>
      </c>
      <c r="G50">
        <v>-147</v>
      </c>
      <c r="H50">
        <v>742</v>
      </c>
      <c r="I50">
        <v>442</v>
      </c>
      <c r="J50">
        <v>-242</v>
      </c>
      <c r="K50">
        <v>-621</v>
      </c>
      <c r="L50" s="167">
        <v>1239</v>
      </c>
      <c r="M50">
        <v>-204</v>
      </c>
      <c r="N50" s="167">
        <v>1378</v>
      </c>
    </row>
    <row r="51" spans="2:14" x14ac:dyDescent="0.3">
      <c r="B51" t="s">
        <v>208</v>
      </c>
      <c r="C51" s="167">
        <v>-1862</v>
      </c>
      <c r="D51" s="167">
        <v>-1765</v>
      </c>
      <c r="E51" s="167">
        <v>-1859</v>
      </c>
      <c r="F51" s="167">
        <v>-2264</v>
      </c>
      <c r="G51" s="167">
        <v>-2767</v>
      </c>
      <c r="H51" s="167">
        <v>-2505</v>
      </c>
      <c r="I51" s="167">
        <v>-2407</v>
      </c>
      <c r="J51" s="167">
        <v>-2784</v>
      </c>
      <c r="K51" s="167">
        <v>-3138</v>
      </c>
      <c r="L51">
        <v>-381</v>
      </c>
      <c r="M51" s="167">
        <v>-2268</v>
      </c>
      <c r="N51" s="167">
        <v>-4840</v>
      </c>
    </row>
    <row r="52" spans="2:14" x14ac:dyDescent="0.3">
      <c r="B52" t="s">
        <v>366</v>
      </c>
      <c r="C52" s="69">
        <v>-14</v>
      </c>
      <c r="D52" s="69">
        <v>-8</v>
      </c>
      <c r="E52" s="69">
        <v>-21</v>
      </c>
      <c r="F52" s="69">
        <v>0</v>
      </c>
      <c r="G52" s="69">
        <v>0</v>
      </c>
      <c r="H52" s="69">
        <v>0</v>
      </c>
      <c r="I52" s="69">
        <v>0</v>
      </c>
      <c r="J52" s="69">
        <v>0</v>
      </c>
      <c r="K52" s="69">
        <v>0</v>
      </c>
      <c r="L52" s="69">
        <v>0</v>
      </c>
      <c r="M52" s="69">
        <v>0</v>
      </c>
      <c r="N52" s="69">
        <v>0</v>
      </c>
    </row>
    <row r="53" spans="2:14" x14ac:dyDescent="0.3">
      <c r="B53" t="s">
        <v>367</v>
      </c>
      <c r="C53" s="69">
        <v>0</v>
      </c>
      <c r="D53" s="69">
        <v>0</v>
      </c>
      <c r="E53" s="69">
        <v>-13</v>
      </c>
      <c r="F53" s="69">
        <v>2</v>
      </c>
      <c r="G53" s="69">
        <v>0</v>
      </c>
      <c r="H53" s="69">
        <v>-6</v>
      </c>
      <c r="I53" s="69">
        <v>-1</v>
      </c>
      <c r="J53" s="69">
        <v>3</v>
      </c>
      <c r="K53" s="69">
        <v>0</v>
      </c>
      <c r="L53" s="69">
        <v>0</v>
      </c>
      <c r="M53" s="69">
        <v>0</v>
      </c>
      <c r="N53" s="69">
        <v>0</v>
      </c>
    </row>
    <row r="54" spans="2:14" x14ac:dyDescent="0.3"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</row>
    <row r="55" spans="2:14" x14ac:dyDescent="0.3">
      <c r="B55" t="s">
        <v>209</v>
      </c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</row>
    <row r="56" spans="2:14" x14ac:dyDescent="0.3">
      <c r="B56" t="s">
        <v>210</v>
      </c>
      <c r="C56" s="69">
        <v>-606</v>
      </c>
      <c r="D56" s="69">
        <v>-810</v>
      </c>
      <c r="E56" s="69">
        <v>-1113</v>
      </c>
      <c r="F56" s="69">
        <v>-895</v>
      </c>
      <c r="G56" s="69">
        <v>-767</v>
      </c>
      <c r="H56" s="69">
        <v>-862</v>
      </c>
      <c r="I56" s="69">
        <v>-4163</v>
      </c>
      <c r="J56" s="69">
        <v>-1228</v>
      </c>
      <c r="K56" s="69">
        <v>-1192</v>
      </c>
      <c r="L56" s="69">
        <v>-1477</v>
      </c>
      <c r="M56" s="69">
        <v>-1275</v>
      </c>
      <c r="N56" s="69">
        <v>-1361</v>
      </c>
    </row>
    <row r="57" spans="2:14" x14ac:dyDescent="0.3">
      <c r="B57" t="s">
        <v>211</v>
      </c>
      <c r="C57" s="69">
        <v>560</v>
      </c>
      <c r="D57" s="69">
        <v>99</v>
      </c>
      <c r="E57" s="69">
        <v>176</v>
      </c>
      <c r="F57" s="69">
        <v>32</v>
      </c>
      <c r="G57" s="69">
        <v>13</v>
      </c>
      <c r="H57" s="69">
        <v>52</v>
      </c>
      <c r="I57" s="69">
        <v>97</v>
      </c>
      <c r="J57" s="69">
        <v>175</v>
      </c>
      <c r="K57" s="69">
        <v>181</v>
      </c>
      <c r="L57" s="69">
        <v>20</v>
      </c>
      <c r="M57" s="69">
        <v>13</v>
      </c>
      <c r="N57" s="69">
        <v>29</v>
      </c>
    </row>
    <row r="58" spans="2:14" x14ac:dyDescent="0.3">
      <c r="B58" t="s">
        <v>212</v>
      </c>
      <c r="C58" s="69">
        <v>-19353</v>
      </c>
      <c r="D58" s="69">
        <v>-20666</v>
      </c>
      <c r="E58" s="69">
        <v>-31214</v>
      </c>
      <c r="F58" s="69">
        <v>-51855</v>
      </c>
      <c r="G58" s="69">
        <v>-74365</v>
      </c>
      <c r="H58" s="69">
        <v>-36090</v>
      </c>
      <c r="I58" s="69">
        <v>-39920</v>
      </c>
      <c r="J58" s="69">
        <v>-48522</v>
      </c>
      <c r="K58" s="69">
        <v>-22649</v>
      </c>
      <c r="L58" s="69">
        <v>-21337</v>
      </c>
      <c r="M58" s="69">
        <v>-22957</v>
      </c>
      <c r="N58" s="69">
        <v>-25529</v>
      </c>
    </row>
    <row r="59" spans="2:14" x14ac:dyDescent="0.3">
      <c r="B59" t="s">
        <v>213</v>
      </c>
      <c r="C59" s="69">
        <v>19461</v>
      </c>
      <c r="D59" s="69">
        <v>20937</v>
      </c>
      <c r="E59" s="69">
        <v>30083</v>
      </c>
      <c r="F59" s="69">
        <v>52897</v>
      </c>
      <c r="G59" s="69">
        <v>74691</v>
      </c>
      <c r="H59" s="69">
        <v>37690</v>
      </c>
      <c r="I59" s="69">
        <v>38486</v>
      </c>
      <c r="J59" s="69">
        <v>47786</v>
      </c>
      <c r="K59" s="69">
        <v>23462</v>
      </c>
      <c r="L59" s="69">
        <v>19846</v>
      </c>
      <c r="M59" s="69">
        <v>23987</v>
      </c>
      <c r="N59" s="69">
        <v>25117</v>
      </c>
    </row>
    <row r="60" spans="2:14" x14ac:dyDescent="0.3">
      <c r="B60" t="s">
        <v>214</v>
      </c>
      <c r="C60" s="69">
        <v>218</v>
      </c>
      <c r="D60" s="69">
        <v>315</v>
      </c>
      <c r="E60" s="69">
        <v>264</v>
      </c>
      <c r="F60" s="69">
        <v>297</v>
      </c>
      <c r="G60" s="69">
        <v>289</v>
      </c>
      <c r="H60" s="69">
        <v>351</v>
      </c>
      <c r="I60" s="69">
        <v>277</v>
      </c>
      <c r="J60" s="69">
        <v>161</v>
      </c>
      <c r="K60" s="69">
        <v>259</v>
      </c>
      <c r="L60" s="69">
        <v>425</v>
      </c>
      <c r="M60" s="69">
        <v>835</v>
      </c>
      <c r="N60" s="69">
        <v>428</v>
      </c>
    </row>
    <row r="61" spans="2:14" x14ac:dyDescent="0.3">
      <c r="B61" t="s">
        <v>215</v>
      </c>
      <c r="C61" s="69">
        <v>24</v>
      </c>
      <c r="D61" s="69">
        <v>33</v>
      </c>
      <c r="E61" s="69">
        <v>14</v>
      </c>
      <c r="F61" s="69">
        <v>0</v>
      </c>
      <c r="G61" s="69">
        <v>1</v>
      </c>
      <c r="H61" s="69">
        <v>1</v>
      </c>
      <c r="I61" s="69">
        <v>1</v>
      </c>
      <c r="J61" s="69">
        <v>1</v>
      </c>
      <c r="K61" s="69">
        <v>2</v>
      </c>
      <c r="L61" s="69">
        <v>3</v>
      </c>
      <c r="M61" s="69">
        <v>0</v>
      </c>
      <c r="N61" s="69">
        <v>5</v>
      </c>
    </row>
    <row r="62" spans="2:14" x14ac:dyDescent="0.3">
      <c r="B62" t="s">
        <v>216</v>
      </c>
      <c r="C62" s="69">
        <v>200</v>
      </c>
      <c r="D62" s="69">
        <v>161</v>
      </c>
      <c r="E62" s="69">
        <v>20</v>
      </c>
      <c r="F62" s="69">
        <v>73</v>
      </c>
      <c r="G62" s="69">
        <v>0</v>
      </c>
      <c r="H62" s="69">
        <v>0</v>
      </c>
      <c r="I62" s="69">
        <v>0</v>
      </c>
      <c r="J62" s="69">
        <v>0</v>
      </c>
      <c r="K62" s="69">
        <v>0</v>
      </c>
      <c r="L62" s="69">
        <v>0</v>
      </c>
      <c r="M62" s="69">
        <v>0</v>
      </c>
      <c r="N62" s="69">
        <v>298</v>
      </c>
    </row>
    <row r="63" spans="2:14" x14ac:dyDescent="0.3">
      <c r="B63" t="s">
        <v>217</v>
      </c>
      <c r="C63" s="69">
        <v>0</v>
      </c>
      <c r="D63" s="69">
        <v>0</v>
      </c>
      <c r="E63" s="69">
        <v>0</v>
      </c>
      <c r="F63" s="69">
        <v>0</v>
      </c>
      <c r="G63" s="69">
        <v>0</v>
      </c>
      <c r="H63" s="69">
        <v>0</v>
      </c>
      <c r="I63" s="69">
        <v>0</v>
      </c>
      <c r="J63" s="69">
        <v>0</v>
      </c>
      <c r="K63" s="69">
        <v>-334</v>
      </c>
      <c r="L63" s="69">
        <v>0</v>
      </c>
      <c r="M63" s="69">
        <v>0</v>
      </c>
      <c r="N63" s="69">
        <v>0</v>
      </c>
    </row>
    <row r="64" spans="2:14" x14ac:dyDescent="0.3">
      <c r="B64" t="s">
        <v>218</v>
      </c>
      <c r="C64" s="69">
        <v>-367</v>
      </c>
      <c r="D64" s="69">
        <v>-351</v>
      </c>
      <c r="E64" s="69">
        <v>597</v>
      </c>
      <c r="F64" s="69">
        <v>-1612</v>
      </c>
      <c r="G64" s="69">
        <v>-300</v>
      </c>
      <c r="H64" s="69">
        <v>649</v>
      </c>
      <c r="I64" s="69">
        <v>3994</v>
      </c>
      <c r="J64" s="69">
        <v>-101</v>
      </c>
      <c r="K64" s="69">
        <v>-1213</v>
      </c>
      <c r="L64" s="69">
        <v>-2804</v>
      </c>
      <c r="M64" s="69">
        <v>5870</v>
      </c>
      <c r="N64" s="69">
        <v>-2663</v>
      </c>
    </row>
    <row r="65" spans="2:14" x14ac:dyDescent="0.3"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</row>
    <row r="66" spans="2:14" x14ac:dyDescent="0.3">
      <c r="B66" t="s">
        <v>219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</row>
    <row r="67" spans="2:14" x14ac:dyDescent="0.3">
      <c r="B67" t="s">
        <v>220</v>
      </c>
      <c r="C67" s="69">
        <v>2</v>
      </c>
      <c r="D67" s="69">
        <v>0</v>
      </c>
      <c r="E67" s="69">
        <v>0</v>
      </c>
      <c r="F67" s="69">
        <v>0</v>
      </c>
      <c r="G67" s="69">
        <v>0</v>
      </c>
      <c r="H67" s="69">
        <v>0</v>
      </c>
      <c r="I67" s="69">
        <v>0</v>
      </c>
      <c r="J67" s="69">
        <v>0</v>
      </c>
      <c r="K67" s="69">
        <v>0</v>
      </c>
      <c r="L67" s="69">
        <v>0</v>
      </c>
      <c r="M67" s="69">
        <v>0</v>
      </c>
      <c r="N67" s="69">
        <v>0</v>
      </c>
    </row>
    <row r="68" spans="2:14" x14ac:dyDescent="0.3">
      <c r="B68" t="s">
        <v>221</v>
      </c>
      <c r="C68" s="69">
        <v>0</v>
      </c>
      <c r="D68" s="69">
        <v>177</v>
      </c>
      <c r="E68" s="69">
        <v>460</v>
      </c>
      <c r="F68" s="69">
        <v>0</v>
      </c>
      <c r="G68" s="69">
        <v>99</v>
      </c>
      <c r="H68" s="69">
        <v>0</v>
      </c>
      <c r="I68" s="69">
        <v>188</v>
      </c>
      <c r="J68" s="69">
        <v>55</v>
      </c>
      <c r="K68" s="69">
        <v>286</v>
      </c>
      <c r="L68" s="69">
        <v>0</v>
      </c>
      <c r="M68" s="69">
        <v>0</v>
      </c>
      <c r="N68" s="69">
        <v>0</v>
      </c>
    </row>
    <row r="69" spans="2:14" x14ac:dyDescent="0.3">
      <c r="B69" t="s">
        <v>222</v>
      </c>
      <c r="C69" s="69">
        <v>-3</v>
      </c>
      <c r="D69" s="69">
        <v>0</v>
      </c>
      <c r="E69" s="69">
        <v>-360</v>
      </c>
      <c r="F69" s="69">
        <v>-277</v>
      </c>
      <c r="G69" s="69">
        <v>0</v>
      </c>
      <c r="H69" s="69">
        <v>-99</v>
      </c>
      <c r="I69" s="69">
        <v>-188</v>
      </c>
      <c r="J69" s="69">
        <v>-55</v>
      </c>
      <c r="K69" s="69">
        <v>-208</v>
      </c>
      <c r="L69" s="69">
        <v>-85</v>
      </c>
      <c r="M69" s="69">
        <v>0</v>
      </c>
      <c r="N69" s="69">
        <v>-46</v>
      </c>
    </row>
    <row r="70" spans="2:14" x14ac:dyDescent="0.3">
      <c r="B70" t="s">
        <v>223</v>
      </c>
      <c r="C70" s="69">
        <v>-18</v>
      </c>
      <c r="D70" s="69">
        <v>-2</v>
      </c>
      <c r="E70" s="69">
        <v>-14</v>
      </c>
      <c r="F70" s="69">
        <v>-6</v>
      </c>
      <c r="G70" s="69">
        <v>-7</v>
      </c>
      <c r="H70" s="69">
        <v>-90</v>
      </c>
      <c r="I70" s="69">
        <v>-92</v>
      </c>
      <c r="J70" s="69">
        <v>-82</v>
      </c>
      <c r="K70" s="69">
        <v>-88</v>
      </c>
      <c r="L70" s="69">
        <v>-110</v>
      </c>
      <c r="M70" s="69">
        <v>-130</v>
      </c>
      <c r="N70" s="69">
        <v>-133</v>
      </c>
    </row>
    <row r="71" spans="2:14" x14ac:dyDescent="0.3">
      <c r="B71" t="s">
        <v>371</v>
      </c>
      <c r="C71" s="69">
        <v>-2912</v>
      </c>
      <c r="D71" s="69">
        <v>-3354</v>
      </c>
      <c r="E71" s="69">
        <v>-3572</v>
      </c>
      <c r="F71" s="69">
        <v>-3911</v>
      </c>
      <c r="G71" s="69">
        <v>-4554</v>
      </c>
      <c r="H71" s="69">
        <v>-5196</v>
      </c>
      <c r="I71" s="69">
        <v>-8811</v>
      </c>
      <c r="J71" s="69">
        <v>-7526</v>
      </c>
      <c r="K71" s="69">
        <v>-8474</v>
      </c>
      <c r="L71" s="69">
        <v>-9416</v>
      </c>
      <c r="M71" s="69">
        <v>-12473</v>
      </c>
      <c r="N71" s="69">
        <v>-10124</v>
      </c>
    </row>
    <row r="72" spans="2:14" x14ac:dyDescent="0.3">
      <c r="B72" t="s">
        <v>224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69">
        <v>-373</v>
      </c>
      <c r="I72" s="69">
        <v>-406</v>
      </c>
      <c r="J72" s="69">
        <v>-407</v>
      </c>
      <c r="K72" s="69">
        <v>-467</v>
      </c>
      <c r="L72" s="69">
        <v>-423</v>
      </c>
      <c r="M72" s="69">
        <v>-498</v>
      </c>
      <c r="N72" s="69">
        <v>-507</v>
      </c>
    </row>
    <row r="73" spans="2:14" x14ac:dyDescent="0.3">
      <c r="B73" t="s">
        <v>225</v>
      </c>
      <c r="C73" s="69">
        <v>-533</v>
      </c>
      <c r="D73" s="69">
        <v>-685</v>
      </c>
      <c r="E73" s="69">
        <v>-728</v>
      </c>
      <c r="F73" s="69">
        <v>-781</v>
      </c>
      <c r="G73" s="69">
        <v>-928</v>
      </c>
      <c r="H73" s="69">
        <v>-1061</v>
      </c>
      <c r="I73" s="69">
        <v>0</v>
      </c>
      <c r="J73" s="69">
        <v>0</v>
      </c>
      <c r="K73" s="69">
        <v>-2</v>
      </c>
      <c r="L73" s="69">
        <v>0</v>
      </c>
      <c r="M73" s="69">
        <v>0</v>
      </c>
      <c r="N73" s="69">
        <v>0</v>
      </c>
    </row>
    <row r="74" spans="2:14" x14ac:dyDescent="0.3"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</row>
    <row r="75" spans="2:14" x14ac:dyDescent="0.3">
      <c r="B75" t="s">
        <v>197</v>
      </c>
      <c r="C75" s="69">
        <v>-33</v>
      </c>
      <c r="D75" s="69">
        <v>25</v>
      </c>
      <c r="E75" s="69">
        <v>-202</v>
      </c>
      <c r="F75" s="69">
        <v>21</v>
      </c>
      <c r="G75" s="69">
        <v>-28</v>
      </c>
      <c r="H75" s="69">
        <v>2595</v>
      </c>
      <c r="I75" s="69">
        <v>-1374</v>
      </c>
      <c r="J75" s="69">
        <v>-695</v>
      </c>
      <c r="K75" s="69">
        <v>-446</v>
      </c>
      <c r="L75" s="69">
        <v>111</v>
      </c>
      <c r="M75" s="69">
        <v>5258</v>
      </c>
      <c r="N75" s="69">
        <v>-3487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AE5F5-7C6E-4D61-BA98-410AAAC224C2}">
  <sheetPr>
    <tabColor rgb="FF005EB8"/>
  </sheetPr>
  <dimension ref="B2:P37"/>
  <sheetViews>
    <sheetView showGridLines="0" workbookViewId="0">
      <selection activeCell="B26" sqref="B26:P26"/>
    </sheetView>
  </sheetViews>
  <sheetFormatPr defaultRowHeight="15" customHeight="1" x14ac:dyDescent="0.3"/>
  <cols>
    <col min="2" max="2" width="16" customWidth="1"/>
    <col min="5" max="5" width="20.109375" customWidth="1"/>
    <col min="6" max="6" width="11.44140625" customWidth="1"/>
    <col min="8" max="8" width="16.21875" customWidth="1"/>
    <col min="14" max="14" width="12.88671875" customWidth="1"/>
    <col min="15" max="15" width="11.33203125" bestFit="1" customWidth="1"/>
    <col min="16" max="16" width="10.21875" customWidth="1"/>
  </cols>
  <sheetData>
    <row r="2" spans="2:16" ht="15" customHeight="1" x14ac:dyDescent="0.3">
      <c r="B2" s="140" t="s">
        <v>336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3" spans="2:16" ht="15" customHeight="1" thickBot="1" x14ac:dyDescent="0.35">
      <c r="B3" s="141" t="s">
        <v>337</v>
      </c>
      <c r="C3" s="63"/>
      <c r="D3" s="63"/>
      <c r="E3" s="63"/>
      <c r="F3" s="63"/>
      <c r="G3" s="63"/>
      <c r="H3" s="63"/>
      <c r="I3" s="63"/>
      <c r="J3" s="63"/>
      <c r="K3" s="34"/>
      <c r="L3" s="34"/>
      <c r="M3" s="34"/>
      <c r="N3" s="34"/>
      <c r="O3" s="34"/>
      <c r="P3" s="34"/>
    </row>
    <row r="4" spans="2:16" ht="15" customHeight="1" x14ac:dyDescent="0.3"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</row>
    <row r="5" spans="2:16" ht="15" customHeight="1" thickBot="1" x14ac:dyDescent="0.35">
      <c r="B5" s="210"/>
      <c r="C5" s="210"/>
      <c r="D5" s="211" t="s">
        <v>338</v>
      </c>
      <c r="E5" s="211"/>
      <c r="F5" s="211"/>
      <c r="G5" s="211"/>
      <c r="H5" s="211"/>
      <c r="I5" s="211"/>
      <c r="J5" s="211" t="s">
        <v>339</v>
      </c>
      <c r="K5" s="211"/>
      <c r="L5" s="211"/>
      <c r="M5" s="210"/>
      <c r="N5" s="211" t="s">
        <v>340</v>
      </c>
      <c r="O5" s="211"/>
      <c r="P5" s="211"/>
    </row>
    <row r="6" spans="2:16" ht="15" customHeight="1" x14ac:dyDescent="0.3">
      <c r="B6" s="212" t="s">
        <v>341</v>
      </c>
      <c r="C6" s="212" t="s">
        <v>342</v>
      </c>
      <c r="D6" s="213" t="s">
        <v>318</v>
      </c>
      <c r="E6" s="213" t="s">
        <v>343</v>
      </c>
      <c r="F6" s="213" t="s">
        <v>344</v>
      </c>
      <c r="G6" s="213" t="s">
        <v>345</v>
      </c>
      <c r="H6" s="214" t="s">
        <v>346</v>
      </c>
      <c r="I6" s="210"/>
      <c r="J6" s="213" t="s">
        <v>347</v>
      </c>
      <c r="K6" s="213" t="s">
        <v>316</v>
      </c>
      <c r="L6" s="213" t="s">
        <v>348</v>
      </c>
      <c r="M6" s="210"/>
      <c r="N6" s="213" t="s">
        <v>349</v>
      </c>
      <c r="O6" s="213" t="s">
        <v>350</v>
      </c>
      <c r="P6" s="213" t="s">
        <v>351</v>
      </c>
    </row>
    <row r="7" spans="2:16" ht="15" customHeight="1" x14ac:dyDescent="0.3"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</row>
    <row r="8" spans="2:16" ht="15" customHeight="1" x14ac:dyDescent="0.3">
      <c r="B8" s="150" t="str">
        <f>Data!C3</f>
        <v>Hind. Unilever</v>
      </c>
      <c r="C8" s="150"/>
      <c r="D8" s="151">
        <f>Data!D3</f>
        <v>2135.8000000000002</v>
      </c>
      <c r="E8" s="151">
        <f>Data!G3</f>
        <v>234.96</v>
      </c>
      <c r="F8" s="151">
        <f>D8*E8</f>
        <v>501827.56800000009</v>
      </c>
      <c r="G8" s="151">
        <f>Data!I3</f>
        <v>-1770</v>
      </c>
      <c r="H8" s="151">
        <f>F8+G8</f>
        <v>500057.56800000009</v>
      </c>
      <c r="I8" s="151"/>
      <c r="J8" s="151">
        <f>Data!F3</f>
        <v>64468</v>
      </c>
      <c r="K8" s="151">
        <f>Data!M3</f>
        <v>15790</v>
      </c>
      <c r="L8" s="151">
        <f>Data!P3</f>
        <v>15059</v>
      </c>
      <c r="M8" s="151"/>
      <c r="N8" s="152">
        <f>$H8/J8</f>
        <v>7.7566787863746365</v>
      </c>
      <c r="O8" s="152">
        <f>$H8/K8</f>
        <v>31.669256998100067</v>
      </c>
      <c r="P8" s="152">
        <f>F8/L8</f>
        <v>33.324096420745072</v>
      </c>
    </row>
    <row r="9" spans="2:16" ht="15" customHeight="1" x14ac:dyDescent="0.3">
      <c r="B9" s="147" t="str">
        <f>Data!C4</f>
        <v>ITC</v>
      </c>
      <c r="C9" s="147"/>
      <c r="D9" s="148">
        <f>Data!D4</f>
        <v>280.64999999999998</v>
      </c>
      <c r="E9" s="148">
        <f>Data!G4</f>
        <v>1252.95</v>
      </c>
      <c r="F9" s="148">
        <f t="shared" ref="F9:F17" si="0">D9*E9</f>
        <v>351640.41749999998</v>
      </c>
      <c r="G9" s="148">
        <f>Data!I4</f>
        <v>-609.73</v>
      </c>
      <c r="H9" s="148">
        <f t="shared" ref="H9:H17" si="1">F9+G9</f>
        <v>351030.6875</v>
      </c>
      <c r="I9" s="148"/>
      <c r="J9" s="148">
        <f>Data!F4</f>
        <v>78868.399999999994</v>
      </c>
      <c r="K9" s="148">
        <f>Data!M4</f>
        <v>30108.949999999997</v>
      </c>
      <c r="L9" s="148">
        <f>Data!P4</f>
        <v>21018.15</v>
      </c>
      <c r="M9" s="148"/>
      <c r="N9" s="149">
        <f t="shared" ref="N9:N17" si="2">$H9/J9</f>
        <v>4.4508407359601572</v>
      </c>
      <c r="O9" s="149">
        <f t="shared" ref="O9:O17" si="3">$H9/K9</f>
        <v>11.658682468169765</v>
      </c>
      <c r="P9" s="149">
        <f t="shared" ref="P9:P17" si="4">F9/L9</f>
        <v>16.730322007407882</v>
      </c>
    </row>
    <row r="10" spans="2:16" ht="15" customHeight="1" x14ac:dyDescent="0.3">
      <c r="B10" s="147" t="str">
        <f>Data!C5</f>
        <v>Nestle India</v>
      </c>
      <c r="C10" s="147"/>
      <c r="D10" s="148">
        <f>Data!D5</f>
        <v>1450.5</v>
      </c>
      <c r="E10" s="148">
        <f>Data!G5</f>
        <v>192.83</v>
      </c>
      <c r="F10" s="148">
        <f t="shared" si="0"/>
        <v>279699.91500000004</v>
      </c>
      <c r="G10" s="148">
        <f>Data!I5</f>
        <v>-896.70999999999981</v>
      </c>
      <c r="H10" s="148">
        <f t="shared" si="1"/>
        <v>278803.20500000002</v>
      </c>
      <c r="I10" s="148"/>
      <c r="J10" s="148">
        <f>Data!F5</f>
        <v>23154.6</v>
      </c>
      <c r="K10" s="148">
        <f>Data!M5</f>
        <v>5342.42</v>
      </c>
      <c r="L10" s="148">
        <f>Data!P5</f>
        <v>3544.6</v>
      </c>
      <c r="M10" s="148"/>
      <c r="N10" s="149">
        <f t="shared" si="2"/>
        <v>12.040942404533011</v>
      </c>
      <c r="O10" s="149">
        <f t="shared" si="3"/>
        <v>52.186687868044821</v>
      </c>
      <c r="P10" s="149">
        <f t="shared" si="4"/>
        <v>78.908738644698985</v>
      </c>
    </row>
    <row r="11" spans="2:16" ht="15" customHeight="1" x14ac:dyDescent="0.3">
      <c r="B11" s="147" t="str">
        <f>Data!C6</f>
        <v>Varun Beverages</v>
      </c>
      <c r="C11" s="147"/>
      <c r="D11" s="148">
        <f>Data!D6</f>
        <v>474.55</v>
      </c>
      <c r="E11" s="148">
        <f>Data!G6</f>
        <v>338.25</v>
      </c>
      <c r="F11" s="148">
        <f t="shared" si="0"/>
        <v>160516.53750000001</v>
      </c>
      <c r="G11" s="148">
        <f>Data!I6</f>
        <v>509.68999999999983</v>
      </c>
      <c r="H11" s="148">
        <f t="shared" si="1"/>
        <v>161026.22750000001</v>
      </c>
      <c r="I11" s="148"/>
      <c r="J11" s="148">
        <f>Data!F6</f>
        <v>22692.63</v>
      </c>
      <c r="K11" s="148">
        <f>Data!M6</f>
        <v>5672.75</v>
      </c>
      <c r="L11" s="148">
        <f>Data!P6</f>
        <v>3209.4</v>
      </c>
      <c r="M11" s="148"/>
      <c r="N11" s="149">
        <f t="shared" si="2"/>
        <v>7.0959702555411166</v>
      </c>
      <c r="O11" s="149">
        <f t="shared" si="3"/>
        <v>28.385919968269359</v>
      </c>
      <c r="P11" s="149">
        <f t="shared" si="4"/>
        <v>50.014500373901662</v>
      </c>
    </row>
    <row r="12" spans="2:16" ht="15" customHeight="1" x14ac:dyDescent="0.3">
      <c r="B12" s="147" t="str">
        <f>Data!C7</f>
        <v>Britannia Inds.</v>
      </c>
      <c r="C12" s="147"/>
      <c r="D12" s="148">
        <f>Data!D7</f>
        <v>5315.5</v>
      </c>
      <c r="E12" s="148">
        <f>Data!G7</f>
        <v>24.09</v>
      </c>
      <c r="F12" s="148">
        <f t="shared" si="0"/>
        <v>128050.395</v>
      </c>
      <c r="G12" s="148">
        <f>Data!I7</f>
        <v>1027.8399999999999</v>
      </c>
      <c r="H12" s="148">
        <f t="shared" si="1"/>
        <v>129078.235</v>
      </c>
      <c r="I12" s="148"/>
      <c r="J12" s="148">
        <f>Data!F7</f>
        <v>19151.59</v>
      </c>
      <c r="K12" s="148">
        <f>Data!M7</f>
        <v>3738.37</v>
      </c>
      <c r="L12" s="148">
        <f>Data!P7</f>
        <v>2537.0100000000002</v>
      </c>
      <c r="M12" s="148"/>
      <c r="N12" s="149">
        <f t="shared" si="2"/>
        <v>6.7398182083054197</v>
      </c>
      <c r="O12" s="149">
        <f t="shared" si="3"/>
        <v>34.527945334463951</v>
      </c>
      <c r="P12" s="149">
        <f t="shared" si="4"/>
        <v>50.472956354133409</v>
      </c>
    </row>
    <row r="13" spans="2:16" ht="15" customHeight="1" x14ac:dyDescent="0.3">
      <c r="B13" s="147" t="str">
        <f>Data!C8</f>
        <v>Godrej Consumer</v>
      </c>
      <c r="C13" s="147"/>
      <c r="D13" s="148">
        <f>Data!D8</f>
        <v>1075.2</v>
      </c>
      <c r="E13" s="148">
        <f>Data!G8</f>
        <v>102.32</v>
      </c>
      <c r="F13" s="148">
        <f t="shared" si="0"/>
        <v>110014.46399999999</v>
      </c>
      <c r="G13" s="148">
        <f>Data!I8</f>
        <v>3410.4000000000005</v>
      </c>
      <c r="H13" s="148">
        <f t="shared" si="1"/>
        <v>113424.86399999999</v>
      </c>
      <c r="I13" s="148"/>
      <c r="J13" s="148">
        <f>Data!F8</f>
        <v>15177.9</v>
      </c>
      <c r="K13" s="148">
        <f>Data!M8</f>
        <v>3422.41</v>
      </c>
      <c r="L13" s="148">
        <f>Data!P8</f>
        <v>1861.47</v>
      </c>
      <c r="M13" s="148"/>
      <c r="N13" s="149">
        <f t="shared" si="2"/>
        <v>7.4730274939220838</v>
      </c>
      <c r="O13" s="149">
        <f t="shared" si="3"/>
        <v>33.141810595457585</v>
      </c>
      <c r="P13" s="149">
        <f t="shared" si="4"/>
        <v>59.10085255201534</v>
      </c>
    </row>
    <row r="14" spans="2:16" ht="15" customHeight="1" x14ac:dyDescent="0.3">
      <c r="B14" s="147" t="str">
        <f>Data!C9</f>
        <v>Marico</v>
      </c>
      <c r="C14" s="147"/>
      <c r="D14" s="148">
        <f>Data!D9</f>
        <v>840.1</v>
      </c>
      <c r="E14" s="148">
        <f>Data!G9</f>
        <v>129.84</v>
      </c>
      <c r="F14" s="148">
        <f t="shared" si="0"/>
        <v>109078.584</v>
      </c>
      <c r="G14" s="148">
        <f>Data!I9</f>
        <v>64</v>
      </c>
      <c r="H14" s="148">
        <f t="shared" si="1"/>
        <v>109142.584</v>
      </c>
      <c r="I14" s="148"/>
      <c r="J14" s="148">
        <f>Data!F9</f>
        <v>13611</v>
      </c>
      <c r="K14" s="148">
        <f>Data!M9</f>
        <v>2532</v>
      </c>
      <c r="L14" s="148">
        <f>Data!P9</f>
        <v>1813</v>
      </c>
      <c r="M14" s="148"/>
      <c r="N14" s="149">
        <f t="shared" si="2"/>
        <v>8.0187042833002717</v>
      </c>
      <c r="O14" s="149">
        <f t="shared" si="3"/>
        <v>43.105285939968404</v>
      </c>
      <c r="P14" s="149">
        <f t="shared" si="4"/>
        <v>60.164690568119141</v>
      </c>
    </row>
    <row r="15" spans="2:16" ht="15" customHeight="1" x14ac:dyDescent="0.3">
      <c r="B15" s="147" t="str">
        <f>Data!C10</f>
        <v>Tata Consumer</v>
      </c>
      <c r="C15" s="147"/>
      <c r="D15" s="148">
        <f>Data!D10</f>
        <v>1089.8</v>
      </c>
      <c r="E15" s="148">
        <f>Data!G10</f>
        <v>98.97</v>
      </c>
      <c r="F15" s="148">
        <f t="shared" si="0"/>
        <v>107857.50599999999</v>
      </c>
      <c r="G15" s="148">
        <f>Data!I10</f>
        <v>-600.97999999999956</v>
      </c>
      <c r="H15" s="148">
        <f t="shared" si="1"/>
        <v>107256.526</v>
      </c>
      <c r="I15" s="148"/>
      <c r="J15" s="148">
        <f>Data!F10</f>
        <v>20290.43</v>
      </c>
      <c r="K15" s="148">
        <f>Data!M10</f>
        <v>2928</v>
      </c>
      <c r="L15" s="148">
        <f>Data!P10</f>
        <v>1546.8</v>
      </c>
      <c r="M15" s="148"/>
      <c r="N15" s="149">
        <f t="shared" si="2"/>
        <v>5.2860647112949302</v>
      </c>
      <c r="O15" s="149">
        <f t="shared" si="3"/>
        <v>36.631327185792351</v>
      </c>
      <c r="P15" s="149">
        <f t="shared" si="4"/>
        <v>69.729445306439104</v>
      </c>
    </row>
    <row r="16" spans="2:16" ht="15" customHeight="1" x14ac:dyDescent="0.3">
      <c r="B16" s="147" t="str">
        <f>Data!C11</f>
        <v>United Spirits</v>
      </c>
      <c r="C16" s="147"/>
      <c r="D16" s="148">
        <f>Data!D11</f>
        <v>1408.8</v>
      </c>
      <c r="E16" s="148">
        <f>Data!G11</f>
        <v>72.739999999999995</v>
      </c>
      <c r="F16" s="148">
        <f t="shared" si="0"/>
        <v>102476.11199999999</v>
      </c>
      <c r="G16" s="148">
        <f>Data!I11</f>
        <v>-1564</v>
      </c>
      <c r="H16" s="148">
        <f t="shared" si="1"/>
        <v>100912.11199999999</v>
      </c>
      <c r="I16" s="148"/>
      <c r="J16" s="148">
        <f>Data!F11</f>
        <v>12467</v>
      </c>
      <c r="K16" s="148">
        <f>Data!M11</f>
        <v>2757</v>
      </c>
      <c r="L16" s="148">
        <f>Data!P11</f>
        <v>1838</v>
      </c>
      <c r="M16" s="148"/>
      <c r="N16" s="149">
        <f t="shared" si="2"/>
        <v>8.0943380123526101</v>
      </c>
      <c r="O16" s="149">
        <f t="shared" si="3"/>
        <v>36.602144359811383</v>
      </c>
      <c r="P16" s="149">
        <f t="shared" si="4"/>
        <v>55.754141458106638</v>
      </c>
    </row>
    <row r="17" spans="2:16" ht="15" customHeight="1" x14ac:dyDescent="0.3">
      <c r="B17" s="147" t="str">
        <f>Data!C12</f>
        <v>Dabur India</v>
      </c>
      <c r="C17" s="147"/>
      <c r="D17" s="148">
        <f>Data!D12</f>
        <v>436.55</v>
      </c>
      <c r="E17" s="148">
        <f>Data!G12</f>
        <v>177.4</v>
      </c>
      <c r="F17" s="148">
        <f t="shared" si="0"/>
        <v>77443.97</v>
      </c>
      <c r="G17" s="148">
        <f>Data!I12</f>
        <v>725.24999999999989</v>
      </c>
      <c r="H17" s="148">
        <f t="shared" si="1"/>
        <v>78169.22</v>
      </c>
      <c r="I17" s="148"/>
      <c r="J17" s="148">
        <f>Data!F12</f>
        <v>13192.57</v>
      </c>
      <c r="K17" s="148">
        <f>Data!M12</f>
        <v>3029.23</v>
      </c>
      <c r="L17" s="148">
        <f>Data!P12</f>
        <v>1868.69</v>
      </c>
      <c r="M17" s="148"/>
      <c r="N17" s="149">
        <f t="shared" si="2"/>
        <v>5.9252458012350893</v>
      </c>
      <c r="O17" s="149">
        <f t="shared" si="3"/>
        <v>25.804980143468804</v>
      </c>
      <c r="P17" s="149">
        <f t="shared" si="4"/>
        <v>41.442919906458535</v>
      </c>
    </row>
    <row r="18" spans="2:16" ht="15" customHeight="1" x14ac:dyDescent="0.3"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</row>
    <row r="19" spans="2:16" ht="15" customHeight="1" x14ac:dyDescent="0.3">
      <c r="B19" s="142" t="s">
        <v>352</v>
      </c>
      <c r="C19" s="142"/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53">
        <f>MAX(N8:N17)</f>
        <v>12.040942404533011</v>
      </c>
      <c r="O19" s="153">
        <f t="shared" ref="O19:P19" si="5">MAX(O8:O17)</f>
        <v>52.186687868044821</v>
      </c>
      <c r="P19" s="153">
        <f t="shared" si="5"/>
        <v>78.908738644698985</v>
      </c>
    </row>
    <row r="20" spans="2:16" ht="15" customHeight="1" x14ac:dyDescent="0.3">
      <c r="B20" s="142" t="s">
        <v>353</v>
      </c>
      <c r="C20" s="142"/>
      <c r="D20" s="142"/>
      <c r="E20" s="142"/>
      <c r="F20" s="142"/>
      <c r="G20" s="142"/>
      <c r="H20" s="142"/>
      <c r="I20" s="142"/>
      <c r="J20" s="142"/>
      <c r="K20" s="142"/>
      <c r="L20" s="142"/>
      <c r="M20" s="142"/>
      <c r="N20" s="153">
        <f>QUARTILE(N8:N17,3)</f>
        <v>7.9531979090688631</v>
      </c>
      <c r="O20" s="153">
        <f t="shared" ref="O20:P20" si="6">QUARTILE(O8:O17,3)</f>
        <v>36.624031479297109</v>
      </c>
      <c r="P20" s="153">
        <f t="shared" si="6"/>
        <v>59.898731064093191</v>
      </c>
    </row>
    <row r="21" spans="2:16" ht="15" customHeight="1" x14ac:dyDescent="0.3">
      <c r="B21" s="143" t="s">
        <v>17</v>
      </c>
      <c r="C21" s="142"/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54">
        <f>AVERAGE(N8:N17)</f>
        <v>7.288163069281933</v>
      </c>
      <c r="O21" s="154">
        <f t="shared" ref="O21:P21" si="7">AVERAGE(O8:O17)</f>
        <v>33.371404086154648</v>
      </c>
      <c r="P21" s="154">
        <f t="shared" si="7"/>
        <v>51.564266359202577</v>
      </c>
    </row>
    <row r="22" spans="2:16" ht="15" customHeight="1" x14ac:dyDescent="0.3">
      <c r="B22" s="143" t="s">
        <v>18</v>
      </c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54">
        <f>MEDIAN(N8:N17)</f>
        <v>7.2844988747316002</v>
      </c>
      <c r="O22" s="154">
        <f t="shared" ref="O22:P22" si="8">MEDIAN(O8:O17)</f>
        <v>33.834877964960768</v>
      </c>
      <c r="P22" s="154">
        <f t="shared" si="8"/>
        <v>53.113548906120023</v>
      </c>
    </row>
    <row r="23" spans="2:16" ht="15" customHeight="1" x14ac:dyDescent="0.3">
      <c r="B23" s="142" t="s">
        <v>354</v>
      </c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53">
        <f>QUARTILE(N8:N17,1)</f>
        <v>6.1288889030026716</v>
      </c>
      <c r="O23" s="153">
        <f t="shared" ref="O23:P23" si="9">QUARTILE(O8:O17,1)</f>
        <v>29.206754225727035</v>
      </c>
      <c r="P23" s="153">
        <f t="shared" si="9"/>
        <v>43.585815023319313</v>
      </c>
    </row>
    <row r="24" spans="2:16" ht="15" customHeight="1" x14ac:dyDescent="0.3">
      <c r="B24" s="142" t="s">
        <v>355</v>
      </c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53">
        <f>MIN(N8:N17)</f>
        <v>4.4508407359601572</v>
      </c>
      <c r="O24" s="153">
        <f t="shared" ref="O24:P24" si="10">MIN(O8:O17)</f>
        <v>11.658682468169765</v>
      </c>
      <c r="P24" s="153">
        <f t="shared" si="10"/>
        <v>16.730322007407882</v>
      </c>
    </row>
    <row r="25" spans="2:16" ht="15" customHeight="1" x14ac:dyDescent="0.3"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</row>
    <row r="26" spans="2:16" ht="15" customHeight="1" thickBot="1" x14ac:dyDescent="0.35">
      <c r="B26" s="215" t="s">
        <v>360</v>
      </c>
      <c r="C26" s="210"/>
      <c r="D26" s="210"/>
      <c r="E26" s="210"/>
      <c r="F26" s="210"/>
      <c r="G26" s="210"/>
      <c r="H26" s="210"/>
      <c r="I26" s="210"/>
      <c r="J26" s="210"/>
      <c r="K26" s="210"/>
      <c r="L26" s="210"/>
      <c r="M26" s="210"/>
      <c r="N26" s="213" t="s">
        <v>349</v>
      </c>
      <c r="O26" s="216" t="s">
        <v>350</v>
      </c>
      <c r="P26" s="213" t="s">
        <v>351</v>
      </c>
    </row>
    <row r="27" spans="2:16" ht="15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</row>
    <row r="28" spans="2:16" ht="15" customHeight="1" x14ac:dyDescent="0.3">
      <c r="B28" s="77" t="s">
        <v>356</v>
      </c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148">
        <f>N$22*J8</f>
        <v>469617.07345619681</v>
      </c>
      <c r="O28" s="148">
        <f>O$22*K8</f>
        <v>534252.72306673054</v>
      </c>
      <c r="P28" s="148">
        <f>P30+P29</f>
        <v>798066.93297726149</v>
      </c>
    </row>
    <row r="29" spans="2:16" ht="15" customHeight="1" x14ac:dyDescent="0.3">
      <c r="B29" s="61" t="s">
        <v>345</v>
      </c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148">
        <f>$G$8</f>
        <v>-1770</v>
      </c>
      <c r="O29" s="148">
        <f t="shared" ref="O29:P29" si="11">$G$8</f>
        <v>-1770</v>
      </c>
      <c r="P29" s="148">
        <f t="shared" si="11"/>
        <v>-1770</v>
      </c>
    </row>
    <row r="30" spans="2:16" ht="15" customHeight="1" x14ac:dyDescent="0.3">
      <c r="B30" s="77" t="s">
        <v>357</v>
      </c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148">
        <f>N28-N29</f>
        <v>471387.07345619681</v>
      </c>
      <c r="O30" s="148">
        <f t="shared" ref="O30" si="12">O28-O29</f>
        <v>536022.72306673054</v>
      </c>
      <c r="P30" s="148">
        <f>P22*L8</f>
        <v>799836.93297726149</v>
      </c>
    </row>
    <row r="31" spans="2:16" ht="15" customHeight="1" x14ac:dyDescent="0.3">
      <c r="B31" s="77" t="s">
        <v>343</v>
      </c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148">
        <f>$E$8</f>
        <v>234.96</v>
      </c>
      <c r="O31" s="148">
        <f t="shared" ref="O31:P31" si="13">$E$8</f>
        <v>234.96</v>
      </c>
      <c r="P31" s="148">
        <f t="shared" si="13"/>
        <v>234.96</v>
      </c>
    </row>
    <row r="32" spans="2:16" ht="15" customHeight="1" thickBot="1" x14ac:dyDescent="0.35"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</row>
    <row r="33" spans="2:16" ht="15" customHeight="1" thickBot="1" x14ac:dyDescent="0.35">
      <c r="B33" s="144" t="s">
        <v>358</v>
      </c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55">
        <f>N30/N31</f>
        <v>2006.243928567402</v>
      </c>
      <c r="O33" s="155">
        <f t="shared" ref="O33:P33" si="14">O30/O31</f>
        <v>2281.3360702533646</v>
      </c>
      <c r="P33" s="155">
        <f t="shared" si="14"/>
        <v>3404.1408451534789</v>
      </c>
    </row>
    <row r="34" spans="2:16" ht="15" customHeight="1" x14ac:dyDescent="0.3"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</row>
    <row r="35" spans="2:16" ht="15" customHeight="1" x14ac:dyDescent="0.3">
      <c r="B35" s="146" t="s">
        <v>359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</row>
    <row r="36" spans="2:16" ht="15" customHeight="1" x14ac:dyDescent="0.3"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 t="str">
        <f>IF(N33&gt;D8,"Undervalued","Overvalued")</f>
        <v>Overvalued</v>
      </c>
      <c r="O36" s="34" t="str">
        <f t="shared" ref="O36:P36" si="15">IF(O33&gt;E8,"Undervalued","Overvalued")</f>
        <v>Undervalued</v>
      </c>
      <c r="P36" s="34" t="str">
        <f t="shared" si="15"/>
        <v>Overvalued</v>
      </c>
    </row>
    <row r="37" spans="2:16" ht="15" customHeight="1" x14ac:dyDescent="0.3"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</row>
  </sheetData>
  <mergeCells count="3">
    <mergeCell ref="D5:I5"/>
    <mergeCell ref="J5:L5"/>
    <mergeCell ref="N5:P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F63FF-E3BF-45B0-8003-ED721E7723E0}">
  <dimension ref="B2:P12"/>
  <sheetViews>
    <sheetView showGridLines="0" tabSelected="1" workbookViewId="0">
      <selection activeCell="M6" sqref="M6"/>
    </sheetView>
  </sheetViews>
  <sheetFormatPr defaultRowHeight="14.4" x14ac:dyDescent="0.3"/>
  <cols>
    <col min="1" max="1" width="2.33203125" customWidth="1"/>
    <col min="2" max="2" width="5.5546875" bestFit="1" customWidth="1"/>
    <col min="3" max="3" width="15.21875" bestFit="1" customWidth="1"/>
    <col min="4" max="4" width="7.88671875" bestFit="1" customWidth="1"/>
    <col min="5" max="5" width="10.21875" bestFit="1" customWidth="1"/>
    <col min="6" max="6" width="10.44140625" bestFit="1" customWidth="1"/>
    <col min="7" max="7" width="16" bestFit="1" customWidth="1"/>
    <col min="8" max="8" width="19.109375" bestFit="1" customWidth="1"/>
    <col min="9" max="9" width="8.44140625" bestFit="1" customWidth="1"/>
    <col min="10" max="10" width="9.5546875" bestFit="1" customWidth="1"/>
    <col min="11" max="11" width="8.5546875" bestFit="1" customWidth="1"/>
    <col min="12" max="12" width="11.6640625" bestFit="1" customWidth="1"/>
    <col min="13" max="13" width="8.5546875" bestFit="1" customWidth="1"/>
    <col min="14" max="14" width="14.44140625" bestFit="1" customWidth="1"/>
    <col min="15" max="15" width="14" bestFit="1" customWidth="1"/>
    <col min="16" max="16" width="8.5546875" bestFit="1" customWidth="1"/>
  </cols>
  <sheetData>
    <row r="2" spans="2:16" s="21" customFormat="1" x14ac:dyDescent="0.3">
      <c r="B2" s="202" t="s">
        <v>84</v>
      </c>
      <c r="C2" s="202" t="s">
        <v>85</v>
      </c>
      <c r="D2" s="202" t="s">
        <v>87</v>
      </c>
      <c r="E2" s="202" t="s">
        <v>89</v>
      </c>
      <c r="F2" s="202" t="s">
        <v>330</v>
      </c>
      <c r="G2" s="202" t="s">
        <v>331</v>
      </c>
      <c r="H2" s="202" t="s">
        <v>32</v>
      </c>
      <c r="I2" s="202" t="s">
        <v>345</v>
      </c>
      <c r="J2" s="202" t="s">
        <v>334</v>
      </c>
      <c r="K2" s="202" t="s">
        <v>140</v>
      </c>
      <c r="L2" s="202" t="s">
        <v>172</v>
      </c>
      <c r="M2" s="202" t="s">
        <v>316</v>
      </c>
      <c r="N2" s="202" t="s">
        <v>333</v>
      </c>
      <c r="O2" s="202" t="s">
        <v>332</v>
      </c>
      <c r="P2" s="202" t="s">
        <v>335</v>
      </c>
    </row>
    <row r="3" spans="2:16" x14ac:dyDescent="0.3">
      <c r="B3" s="197">
        <v>1</v>
      </c>
      <c r="C3" s="197" t="s">
        <v>320</v>
      </c>
      <c r="D3" s="205">
        <v>2135.8000000000002</v>
      </c>
      <c r="E3" s="205">
        <v>1478</v>
      </c>
      <c r="F3" s="205">
        <v>64468</v>
      </c>
      <c r="G3" s="205">
        <v>234.96</v>
      </c>
      <c r="H3" s="205">
        <f>G3*D3</f>
        <v>501827.56800000009</v>
      </c>
      <c r="I3" s="205">
        <f>E3-O3</f>
        <v>-1770</v>
      </c>
      <c r="J3" s="205">
        <f t="shared" ref="J3:J12" si="0">H3+E3-O3</f>
        <v>500057.56800000009</v>
      </c>
      <c r="K3" s="205">
        <v>14457</v>
      </c>
      <c r="L3" s="205">
        <v>1333</v>
      </c>
      <c r="M3" s="205">
        <f>SUM(K3:L3)</f>
        <v>15790</v>
      </c>
      <c r="N3" s="204">
        <f t="shared" ref="N3:N12" si="1">M3/F3</f>
        <v>0.24492771607619285</v>
      </c>
      <c r="O3" s="200">
        <v>3248</v>
      </c>
      <c r="P3" s="200">
        <v>15059</v>
      </c>
    </row>
    <row r="4" spans="2:16" x14ac:dyDescent="0.3">
      <c r="B4" s="197">
        <v>2</v>
      </c>
      <c r="C4" s="197" t="s">
        <v>321</v>
      </c>
      <c r="D4" s="205">
        <v>280.64999999999998</v>
      </c>
      <c r="E4" s="205">
        <v>2399.06</v>
      </c>
      <c r="F4" s="205">
        <v>78868.399999999994</v>
      </c>
      <c r="G4" s="205">
        <v>1252.95</v>
      </c>
      <c r="H4" s="205">
        <f t="shared" ref="H4:H12" si="2">G4*D4</f>
        <v>351640.41749999998</v>
      </c>
      <c r="I4" s="205">
        <f t="shared" ref="I4:I12" si="3">E4-O4</f>
        <v>-609.73</v>
      </c>
      <c r="J4" s="205">
        <f t="shared" si="0"/>
        <v>351030.6875</v>
      </c>
      <c r="K4" s="205">
        <v>28398.42</v>
      </c>
      <c r="L4" s="205">
        <v>1710.53</v>
      </c>
      <c r="M4" s="205">
        <f t="shared" ref="M4:M12" si="4">SUM(K4:L4)</f>
        <v>30108.949999999997</v>
      </c>
      <c r="N4" s="204">
        <f t="shared" si="1"/>
        <v>0.38176189703353941</v>
      </c>
      <c r="O4" s="200">
        <v>3008.79</v>
      </c>
      <c r="P4" s="200">
        <v>21018.15</v>
      </c>
    </row>
    <row r="5" spans="2:16" x14ac:dyDescent="0.3">
      <c r="B5" s="197">
        <v>3</v>
      </c>
      <c r="C5" s="197" t="s">
        <v>322</v>
      </c>
      <c r="D5" s="205">
        <v>1450.5</v>
      </c>
      <c r="E5" s="205">
        <v>444.16</v>
      </c>
      <c r="F5" s="205">
        <v>23154.6</v>
      </c>
      <c r="G5" s="205">
        <v>192.83</v>
      </c>
      <c r="H5" s="205">
        <f t="shared" si="2"/>
        <v>279699.91500000004</v>
      </c>
      <c r="I5" s="205">
        <f t="shared" si="3"/>
        <v>-896.70999999999981</v>
      </c>
      <c r="J5" s="205">
        <f t="shared" si="0"/>
        <v>278803.20500000002</v>
      </c>
      <c r="K5" s="205">
        <v>4643.1899999999996</v>
      </c>
      <c r="L5" s="205">
        <v>699.23</v>
      </c>
      <c r="M5" s="205">
        <f t="shared" si="4"/>
        <v>5342.42</v>
      </c>
      <c r="N5" s="204">
        <f t="shared" si="1"/>
        <v>0.23072823542622203</v>
      </c>
      <c r="O5" s="200">
        <v>1340.87</v>
      </c>
      <c r="P5" s="200">
        <v>3544.6</v>
      </c>
    </row>
    <row r="6" spans="2:16" x14ac:dyDescent="0.3">
      <c r="B6" s="197">
        <v>4</v>
      </c>
      <c r="C6" s="197" t="s">
        <v>323</v>
      </c>
      <c r="D6" s="205">
        <v>474.55</v>
      </c>
      <c r="E6" s="205">
        <v>2508.1799999999998</v>
      </c>
      <c r="F6" s="205">
        <v>22692.63</v>
      </c>
      <c r="G6" s="205">
        <v>338.25</v>
      </c>
      <c r="H6" s="205">
        <f t="shared" si="2"/>
        <v>160516.53750000001</v>
      </c>
      <c r="I6" s="205">
        <f t="shared" si="3"/>
        <v>509.68999999999983</v>
      </c>
      <c r="J6" s="205">
        <f t="shared" si="0"/>
        <v>161026.22750000001</v>
      </c>
      <c r="K6" s="205">
        <v>4372.01</v>
      </c>
      <c r="L6" s="205">
        <v>1300.74</v>
      </c>
      <c r="M6" s="205">
        <f t="shared" si="4"/>
        <v>5672.75</v>
      </c>
      <c r="N6" s="204">
        <f t="shared" si="1"/>
        <v>0.24998204262793691</v>
      </c>
      <c r="O6" s="200">
        <v>1998.49</v>
      </c>
      <c r="P6" s="200">
        <v>3209.4</v>
      </c>
    </row>
    <row r="7" spans="2:16" x14ac:dyDescent="0.3">
      <c r="B7" s="197">
        <v>5</v>
      </c>
      <c r="C7" s="197" t="s">
        <v>324</v>
      </c>
      <c r="D7" s="205">
        <v>5315.5</v>
      </c>
      <c r="E7" s="205">
        <v>1380.28</v>
      </c>
      <c r="F7" s="205">
        <v>19151.59</v>
      </c>
      <c r="G7" s="205">
        <v>24.09</v>
      </c>
      <c r="H7" s="205">
        <f t="shared" si="2"/>
        <v>128050.395</v>
      </c>
      <c r="I7" s="205">
        <f t="shared" si="3"/>
        <v>1027.8399999999999</v>
      </c>
      <c r="J7" s="205">
        <f t="shared" si="0"/>
        <v>129078.235</v>
      </c>
      <c r="K7" s="205">
        <v>3401.54</v>
      </c>
      <c r="L7" s="205">
        <v>336.83</v>
      </c>
      <c r="M7" s="205">
        <f t="shared" si="4"/>
        <v>3738.37</v>
      </c>
      <c r="N7" s="204">
        <f t="shared" si="1"/>
        <v>0.19519893648516912</v>
      </c>
      <c r="O7" s="200">
        <v>352.44</v>
      </c>
      <c r="P7" s="200">
        <v>2537.0100000000002</v>
      </c>
    </row>
    <row r="8" spans="2:16" x14ac:dyDescent="0.3">
      <c r="B8" s="197">
        <v>6</v>
      </c>
      <c r="C8" s="197" t="s">
        <v>325</v>
      </c>
      <c r="D8" s="205">
        <v>1075.2</v>
      </c>
      <c r="E8" s="205">
        <v>4415.8100000000004</v>
      </c>
      <c r="F8" s="205">
        <v>15177.9</v>
      </c>
      <c r="G8" s="205">
        <v>102.32</v>
      </c>
      <c r="H8" s="205">
        <f t="shared" si="2"/>
        <v>110014.46399999999</v>
      </c>
      <c r="I8" s="205">
        <f t="shared" si="3"/>
        <v>3410.4000000000005</v>
      </c>
      <c r="J8" s="205">
        <f t="shared" si="0"/>
        <v>113424.86399999999</v>
      </c>
      <c r="K8" s="205">
        <v>3154.88</v>
      </c>
      <c r="L8" s="205">
        <v>267.52999999999997</v>
      </c>
      <c r="M8" s="205">
        <f t="shared" si="4"/>
        <v>3422.41</v>
      </c>
      <c r="N8" s="204">
        <f t="shared" si="1"/>
        <v>0.22548639798654621</v>
      </c>
      <c r="O8" s="200">
        <v>1005.41</v>
      </c>
      <c r="P8" s="200">
        <v>1861.47</v>
      </c>
    </row>
    <row r="9" spans="2:16" x14ac:dyDescent="0.3">
      <c r="B9" s="197">
        <v>7</v>
      </c>
      <c r="C9" s="197" t="s">
        <v>326</v>
      </c>
      <c r="D9" s="205">
        <v>840.1</v>
      </c>
      <c r="E9" s="205">
        <v>557</v>
      </c>
      <c r="F9" s="205">
        <v>13611</v>
      </c>
      <c r="G9" s="205">
        <v>129.84</v>
      </c>
      <c r="H9" s="205">
        <f t="shared" si="2"/>
        <v>109078.584</v>
      </c>
      <c r="I9" s="205">
        <f t="shared" si="3"/>
        <v>64</v>
      </c>
      <c r="J9" s="205">
        <f t="shared" si="0"/>
        <v>109142.584</v>
      </c>
      <c r="K9" s="205">
        <v>2330</v>
      </c>
      <c r="L9" s="205">
        <v>202</v>
      </c>
      <c r="M9" s="205">
        <f t="shared" si="4"/>
        <v>2532</v>
      </c>
      <c r="N9" s="204">
        <f t="shared" si="1"/>
        <v>0.18602600837557859</v>
      </c>
      <c r="O9" s="200">
        <v>493</v>
      </c>
      <c r="P9" s="200">
        <v>1813</v>
      </c>
    </row>
    <row r="10" spans="2:16" x14ac:dyDescent="0.3">
      <c r="B10" s="197">
        <v>8</v>
      </c>
      <c r="C10" s="197" t="s">
        <v>327</v>
      </c>
      <c r="D10" s="205">
        <v>1089.8</v>
      </c>
      <c r="E10" s="205">
        <v>2819.51</v>
      </c>
      <c r="F10" s="205">
        <v>20290.43</v>
      </c>
      <c r="G10" s="205">
        <v>98.97</v>
      </c>
      <c r="H10" s="205">
        <f t="shared" si="2"/>
        <v>107857.50599999999</v>
      </c>
      <c r="I10" s="205">
        <f t="shared" si="3"/>
        <v>-600.97999999999956</v>
      </c>
      <c r="J10" s="205">
        <f t="shared" si="0"/>
        <v>107256.52599999998</v>
      </c>
      <c r="K10" s="205">
        <v>2301.3200000000002</v>
      </c>
      <c r="L10" s="205">
        <v>626.67999999999995</v>
      </c>
      <c r="M10" s="205">
        <f t="shared" si="4"/>
        <v>2928</v>
      </c>
      <c r="N10" s="204">
        <f t="shared" si="1"/>
        <v>0.14430448245798635</v>
      </c>
      <c r="O10" s="200">
        <v>3420.49</v>
      </c>
      <c r="P10" s="200">
        <v>1546.8</v>
      </c>
    </row>
    <row r="11" spans="2:16" x14ac:dyDescent="0.3">
      <c r="B11" s="197">
        <v>9</v>
      </c>
      <c r="C11" s="197" t="s">
        <v>328</v>
      </c>
      <c r="D11" s="205">
        <v>1408.8</v>
      </c>
      <c r="E11" s="205">
        <v>413</v>
      </c>
      <c r="F11" s="205">
        <v>12467</v>
      </c>
      <c r="G11" s="205">
        <v>72.739999999999995</v>
      </c>
      <c r="H11" s="205">
        <f t="shared" si="2"/>
        <v>102476.11199999999</v>
      </c>
      <c r="I11" s="205">
        <f t="shared" si="3"/>
        <v>-1564</v>
      </c>
      <c r="J11" s="205">
        <f t="shared" si="0"/>
        <v>100912.11199999999</v>
      </c>
      <c r="K11" s="205">
        <v>2468</v>
      </c>
      <c r="L11" s="205">
        <v>289</v>
      </c>
      <c r="M11" s="205">
        <f t="shared" si="4"/>
        <v>2757</v>
      </c>
      <c r="N11" s="204">
        <f t="shared" si="1"/>
        <v>0.22114381968396568</v>
      </c>
      <c r="O11" s="200">
        <v>1977</v>
      </c>
      <c r="P11" s="200">
        <v>1838</v>
      </c>
    </row>
    <row r="12" spans="2:16" x14ac:dyDescent="0.3">
      <c r="B12" s="197">
        <v>10</v>
      </c>
      <c r="C12" s="197" t="s">
        <v>329</v>
      </c>
      <c r="D12" s="205">
        <v>436.55</v>
      </c>
      <c r="E12" s="205">
        <v>1287.32</v>
      </c>
      <c r="F12" s="205">
        <v>13192.57</v>
      </c>
      <c r="G12" s="205">
        <v>177.4</v>
      </c>
      <c r="H12" s="205">
        <f t="shared" si="2"/>
        <v>77443.97</v>
      </c>
      <c r="I12" s="205">
        <f t="shared" si="3"/>
        <v>725.24999999999989</v>
      </c>
      <c r="J12" s="205">
        <f t="shared" si="0"/>
        <v>78169.22</v>
      </c>
      <c r="K12" s="205">
        <v>2560.3000000000002</v>
      </c>
      <c r="L12" s="205">
        <v>468.93</v>
      </c>
      <c r="M12" s="205">
        <f t="shared" si="4"/>
        <v>3029.23</v>
      </c>
      <c r="N12" s="204">
        <f t="shared" si="1"/>
        <v>0.22961636739467747</v>
      </c>
      <c r="O12" s="200">
        <v>562.07000000000005</v>
      </c>
      <c r="P12" s="200">
        <v>1868.69</v>
      </c>
    </row>
  </sheetData>
  <pageMargins left="0.7" right="0.7" top="0.75" bottom="0.75" header="0.3" footer="0.3"/>
  <ignoredErrors>
    <ignoredError sqref="M3:M1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2</vt:i4>
      </vt:variant>
    </vt:vector>
  </HeadingPairs>
  <TitlesOfParts>
    <vt:vector size="19" baseType="lpstr">
      <vt:lpstr>Financials&gt;</vt:lpstr>
      <vt:lpstr>Historical FS</vt:lpstr>
      <vt:lpstr>Financial Ratios</vt:lpstr>
      <vt:lpstr>Forecasting</vt:lpstr>
      <vt:lpstr>Data Sheet</vt:lpstr>
      <vt:lpstr>Cash Flow Data</vt:lpstr>
      <vt:lpstr>DCF&gt;</vt:lpstr>
      <vt:lpstr>WACC</vt:lpstr>
      <vt:lpstr>Beta</vt:lpstr>
      <vt:lpstr>Beta - Cal</vt:lpstr>
      <vt:lpstr>Beta - Comps</vt:lpstr>
      <vt:lpstr>Rm</vt:lpstr>
      <vt:lpstr>Intrisic Growth</vt:lpstr>
      <vt:lpstr>DCF</vt:lpstr>
      <vt:lpstr>Data - Raw FS</vt:lpstr>
      <vt:lpstr>Relative Valuation</vt:lpstr>
      <vt:lpstr>Data</vt:lpstr>
      <vt:lpstr>'Historical FS'!Print_Area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Shashanya Goud</dc:creator>
  <cp:lastModifiedBy>Shashanya Goud</cp:lastModifiedBy>
  <dcterms:created xsi:type="dcterms:W3CDTF">2026-07-04T10:14:43Z</dcterms:created>
  <dcterms:modified xsi:type="dcterms:W3CDTF">2026-07-28T06:40:06Z</dcterms:modified>
</cp:coreProperties>
</file>